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指标树" sheetId="2" state="visible" r:id="rId2"/>
    <sheet name="选项" sheetId="3" state="hidden" r:id="rId3"/>
  </sheets>
  <definedNames>
    <definedName name="L_YN">'选项'!$A$1:$A$2</definedName>
    <definedName name="L_DIR">'选项'!$B$1:$B$3</definedName>
    <definedName name="L_OP">'选项'!$C$1:$C$3</definedName>
    <definedName name="L_CONF">'选项'!$D$1:$D$4</definedName>
    <definedName name="L_BASIS">'选项'!$E$1:$E$33</definedName>
    <definedName name="_xlnm._FilterDatabase" localSheetId="1" hidden="1">'指标树'!$A$2:$P$337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color rgb="0044546A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color rgb="00C00000"/>
      <sz val="10"/>
    </font>
    <font>
      <name val="微软雅黑"/>
      <color rgb="00595959"/>
      <sz val="10"/>
    </font>
    <font>
      <name val="微软雅黑"/>
      <color rgb="00548235"/>
      <sz val="10"/>
    </font>
    <font>
      <name val="微软雅黑"/>
      <b val="1"/>
      <color rgb="00BF8F00"/>
      <sz val="10"/>
    </font>
    <font>
      <name val="微软雅黑"/>
      <color rgb="00BF8F00"/>
      <sz val="10"/>
    </font>
    <font>
      <name val="微软雅黑"/>
      <i val="1"/>
      <color rgb="007F7F7F"/>
      <sz val="10"/>
    </font>
    <font>
      <name val="微软雅黑"/>
      <b val="1"/>
      <color rgb="001F3864"/>
      <sz val="16"/>
    </font>
    <font>
      <name val="微软雅黑"/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EAF1FB"/>
      </patternFill>
    </fill>
    <fill>
      <patternFill patternType="solid">
        <fgColor rgb="007F7F7F"/>
      </patternFill>
    </fill>
    <fill>
      <patternFill patternType="solid">
        <fgColor rgb="00BF8F00"/>
      </patternFill>
    </fill>
    <fill>
      <patternFill patternType="solid">
        <fgColor rgb="00548235"/>
      </patternFill>
    </fill>
    <fill>
      <patternFill patternType="solid">
        <fgColor rgb="001F3864"/>
      </patternFill>
    </fill>
    <fill>
      <patternFill patternType="solid">
        <fgColor rgb="00FFF9E6"/>
      </patternFill>
    </fill>
    <fill>
      <patternFill patternType="solid">
        <fgColor rgb="00F1F8E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1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9" borderId="2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 wrapText="1"/>
    </xf>
    <xf numFmtId="4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indent="2"/>
    </xf>
    <xf numFmtId="0" fontId="3" fillId="0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4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indent="4"/>
    </xf>
    <xf numFmtId="1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indent="4"/>
    </xf>
    <xf numFmtId="0" fontId="3" fillId="0" borderId="1" applyAlignment="1" pivotButton="0" quotePrefix="0" xfId="0">
      <alignment vertical="top" indent="6"/>
    </xf>
    <xf numFmtId="0" fontId="7" fillId="0" borderId="1" applyAlignment="1" pivotButton="0" quotePrefix="0" xfId="0">
      <alignment vertical="top" indent="8"/>
    </xf>
    <xf numFmtId="0" fontId="10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indent="8"/>
    </xf>
    <xf numFmtId="0" fontId="3" fillId="0" borderId="1" applyAlignment="1" pivotButton="0" quotePrefix="0" xfId="0">
      <alignment vertical="top" indent="10"/>
    </xf>
    <xf numFmtId="0" fontId="7" fillId="0" borderId="1" applyAlignment="1" pivotButton="0" quotePrefix="0" xfId="0">
      <alignment vertical="top" indent="12"/>
    </xf>
    <xf numFmtId="0" fontId="9" fillId="0" borderId="1" applyAlignment="1" pivotButton="0" quotePrefix="0" xfId="0">
      <alignment vertical="top" indent="12"/>
    </xf>
    <xf numFmtId="0" fontId="3" fillId="0" borderId="1" applyAlignment="1" pivotButton="0" quotePrefix="0" xfId="0">
      <alignment vertical="top" indent="14"/>
    </xf>
    <xf numFmtId="0" fontId="7" fillId="0" borderId="1" applyAlignment="1" pivotButton="0" quotePrefix="0" xfId="0">
      <alignment vertical="top" indent="16"/>
    </xf>
    <xf numFmtId="0" fontId="11" fillId="0" borderId="1" applyAlignment="1" pivotButton="0" quotePrefix="0" xfId="0">
      <alignment vertical="top" indent="6"/>
    </xf>
    <xf numFmtId="0" fontId="9" fillId="0" borderId="1" applyAlignment="1" pivotButton="0" quotePrefix="0" xfId="0">
      <alignment vertical="top" indent="16"/>
    </xf>
    <xf numFmtId="0" fontId="3" fillId="0" borderId="1" applyAlignment="1" pivotButton="0" quotePrefix="0" xfId="0">
      <alignment vertical="top" indent="18"/>
    </xf>
    <xf numFmtId="0" fontId="9" fillId="0" borderId="1" applyAlignment="1" pivotButton="0" quotePrefix="0" xfId="0">
      <alignment vertical="top" indent="20"/>
    </xf>
    <xf numFmtId="0" fontId="3" fillId="0" borderId="1" applyAlignment="1" pivotButton="0" quotePrefix="0" xfId="0">
      <alignment vertical="top" indent="22"/>
    </xf>
    <xf numFmtId="0" fontId="11" fillId="0" borderId="1" applyAlignment="1" pivotButton="0" quotePrefix="0" xfId="0">
      <alignment vertical="top" indent="18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2" customWidth="1" min="3" max="3"/>
  </cols>
  <sheetData>
    <row r="2">
      <c r="B2" s="1" t="inlineStr">
        <is>
          <t>业务语义数据登记表（初稿·树形）</t>
        </is>
      </c>
    </row>
    <row r="3">
      <c r="B3" s="2" t="inlineStr">
        <is>
          <t>由《全省农商行2026年7月主要经营指标一览表》和《61家归因分析_202606》自动整理，需业务方确认。生成日期 2026-10-09。</t>
        </is>
      </c>
    </row>
    <row r="5">
      <c r="B5" s="3" t="inlineStr">
        <is>
          <t>怎么看这棵树</t>
        </is>
      </c>
    </row>
    <row r="6">
      <c r="B6" s="4" t="inlineStr">
        <is>
          <t>板块</t>
        </is>
      </c>
      <c r="C6" s="5" t="inlineStr">
        <is>
          <t>深蓝色整行，如“二、存款”。每个板块下是该板块的指标。</t>
        </is>
      </c>
    </row>
    <row r="7">
      <c r="B7" s="4" t="inlineStr">
        <is>
          <t>指标</t>
        </is>
      </c>
      <c r="C7" s="5" t="inlineStr">
        <is>
          <t>缩进越深，层级越低；点左侧“+/-”可以展开、收起下级。</t>
        </is>
      </c>
    </row>
    <row r="8" ht="30" customHeight="1">
      <c r="B8" s="4" t="inlineStr">
        <is>
          <t>〔拆解方式〕</t>
        </is>
      </c>
      <c r="C8" s="5" t="inlineStr">
        <is>
          <t>指标下面的分组，如〔按担保方式〕。同一个指标可以有多种拆法，每种拆法单独一组；“自动校验”列显示该组下级加起来是否等于上级。</t>
        </is>
      </c>
    </row>
    <row r="9">
      <c r="B9" s="4" t="inlineStr">
        <is>
          <t>比率</t>
        </is>
      </c>
      <c r="C9" s="5" t="inlineStr">
        <is>
          <t>灰色，挂在它的分子指标下面，如“个人存款占比”挂在“个人存款”下。</t>
        </is>
      </c>
    </row>
    <row r="10">
      <c r="B10" s="4" t="inlineStr">
        <is>
          <t>↪ 引用</t>
        </is>
      </c>
      <c r="C10" s="5" t="inlineStr">
        <is>
          <t>灰色斜体。该指标同时属于多个上级，完整的下级只在一处展开，其他地方以引用出现，备注里写了展开位置。</t>
        </is>
      </c>
    </row>
    <row r="12">
      <c r="B12" s="3" t="inlineStr">
        <is>
          <t>请业务方做的三件事</t>
        </is>
      </c>
    </row>
    <row r="13">
      <c r="B13" s="4" t="inlineStr">
        <is>
          <t>① 定默认口径</t>
        </is>
      </c>
      <c r="C13" s="5" t="inlineStr">
        <is>
          <t>在下方黄色单元格中选择：用户没说口径时默认用哪个（全局只定一次）。</t>
        </is>
      </c>
    </row>
    <row r="14" ht="30" customHeight="1">
      <c r="B14" s="4" t="inlineStr">
        <is>
          <t>② 核对树的结构</t>
        </is>
      </c>
      <c r="C14" s="5" t="inlineStr">
        <is>
          <t>上下级、拆解方式、加/减/其中是否正确；“自动校验”出现 ✗ 的组请在备注中说明原因。需要新增节点时插入一行，并填写最右侧的“上级指标”“拆解方式”。</t>
        </is>
      </c>
    </row>
    <row r="15">
      <c r="B15" s="4" t="inlineStr">
        <is>
          <t>③ 核对目录对应</t>
        </is>
      </c>
      <c r="C15" s="5" t="inlineStr">
        <is>
          <t>每个指标在“业务确认”列下拉选择：正确 / 有误（备注写正确指标）/ 目录中没有 / 不需要。顺带确认黄色建议列。</t>
        </is>
      </c>
    </row>
    <row r="17">
      <c r="B17" s="3" t="inlineStr">
        <is>
          <t>全局设置</t>
        </is>
      </c>
    </row>
    <row r="18">
      <c r="B18" s="4" t="inlineStr">
        <is>
          <t>默认口径（必填）</t>
        </is>
      </c>
      <c r="C18" s="6" t="n"/>
    </row>
    <row r="20">
      <c r="B20" s="3" t="inlineStr">
        <is>
          <t>整理情况（自动统计）</t>
        </is>
      </c>
    </row>
    <row r="21">
      <c r="B21" s="7" t="inlineStr">
        <is>
          <t>指标数</t>
        </is>
      </c>
      <c r="C21" s="8">
        <f>COUNTIF('指标树'!B3:B337,"指标")+COUNTIF('指标树'!B3:B337,"比率")</f>
        <v/>
      </c>
    </row>
    <row r="22">
      <c r="B22" s="7" t="inlineStr">
        <is>
          <t>拆解分组数</t>
        </is>
      </c>
      <c r="C22" s="8">
        <f>COUNTIF('指标树'!B3:B337,"拆解方式")</f>
        <v/>
      </c>
    </row>
    <row r="23">
      <c r="B23" s="7" t="inlineStr">
        <is>
          <t>校验一致的分组</t>
        </is>
      </c>
      <c r="C23" s="8">
        <f>COUNTIF('指标树'!F3:F337,"✓*")</f>
        <v/>
      </c>
    </row>
    <row r="24">
      <c r="B24" s="7" t="inlineStr">
        <is>
          <t>校验不一致的分组</t>
        </is>
      </c>
      <c r="C24" s="8">
        <f>COUNTIF('指标树'!F3:F337,"✗*")</f>
        <v/>
      </c>
    </row>
    <row r="25">
      <c r="B25" s="7" t="inlineStr">
        <is>
          <t>目录中完全一致的指标</t>
        </is>
      </c>
      <c r="C25" s="8">
        <f>COUNTIF('指标树'!K3:K337,"完全一致")</f>
        <v/>
      </c>
    </row>
    <row r="26">
      <c r="B26" s="7" t="inlineStr">
        <is>
          <t>需确认对应的指标（近似/多个候选）</t>
        </is>
      </c>
      <c r="C26" s="8">
        <f>COUNTIF('指标树'!K3:K337,"近似，请核对")+COUNTIF('指标树'!K3:K337,"多个候选，请选择")</f>
        <v/>
      </c>
    </row>
    <row r="27">
      <c r="B27" s="7" t="inlineStr">
        <is>
          <t>目录中未找到的指标</t>
        </is>
      </c>
      <c r="C27" s="8">
        <f>COUNTIF('指标树'!K3:K337,"目录中未找到")</f>
        <v/>
      </c>
    </row>
    <row r="28">
      <c r="B28" s="7" t="inlineStr">
        <is>
          <t>业务已确认的行</t>
        </is>
      </c>
      <c r="C28" s="8">
        <f>COUNTA('指标树'!L3:L337)</f>
        <v/>
      </c>
    </row>
  </sheetData>
  <dataValidations count="1">
    <dataValidation sqref="C18" showDropDown="0" showInputMessage="0" showErrorMessage="0" allowBlank="1" type="list">
      <formula1>=L_BASIS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3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9" customWidth="1" min="3" max="3"/>
    <col width="13" customWidth="1" min="4" max="4"/>
    <col width="6" customWidth="1" min="5" max="5"/>
    <col width="22" customWidth="1" min="6" max="6"/>
    <col width="9" customWidth="1" min="7" max="7"/>
    <col width="11" customWidth="1" min="8" max="8"/>
    <col width="28" customWidth="1" min="9" max="9"/>
    <col width="34" customWidth="1" min="10" max="10"/>
    <col width="13" customWidth="1" min="11" max="11"/>
    <col width="13" customWidth="1" min="12" max="12"/>
    <col width="46" customWidth="1" min="13" max="13"/>
    <col width="22" customWidth="1" min="14" max="14"/>
    <col width="13" customWidth="1" min="15" max="15"/>
    <col width="26" customWidth="1" min="16" max="16"/>
  </cols>
  <sheetData>
    <row r="1" ht="54" customHeight="1">
      <c r="A1" s="9" t="inlineStr">
        <is>
          <t>缩进表示上下级；点左侧“+/-”可展开、收起。〔 〕为拆解方式；↪ 为引用（该指标的完整拆解在别处，见备注）</t>
        </is>
      </c>
      <c r="B1" s="9" t="inlineStr">
        <is>
          <t>板块 / 指标 / 拆解方式 / 比率 / 引用</t>
        </is>
      </c>
      <c r="C1" s="9" t="inlineStr">
        <is>
          <t>加：计入上级；减：从上级扣除；其中：属于上级但与其他项交叉，不参与加总</t>
        </is>
      </c>
      <c r="D1" s="9" t="inlineStr">
        <is>
          <t>来自源报表，仅用于校验</t>
        </is>
      </c>
      <c r="E1" s="9" t="inlineStr"/>
      <c r="F1" s="9" t="inlineStr">
        <is>
          <t>在〔拆解方式〕行显示：该组“加/减”下级合计是否等于上级</t>
        </is>
      </c>
      <c r="G1" s="9" t="inlineStr">
        <is>
          <t>该板块整体情况优先看的指标</t>
        </is>
      </c>
      <c r="H1" s="9" t="inlineStr"/>
      <c r="I1" s="9" t="inlineStr">
        <is>
          <t>比率类：分子 ÷ 分母</t>
        </is>
      </c>
      <c r="J1" s="9" t="inlineStr">
        <is>
          <t>当前问数目录中的候选，多个用“；”分隔</t>
        </is>
      </c>
      <c r="K1" s="9" t="inlineStr"/>
      <c r="L1" s="9" t="inlineStr">
        <is>
          <t>请从下拉选择</t>
        </is>
      </c>
      <c r="M1" s="9" t="inlineStr">
        <is>
          <t>系统发现的疑点已写在这里；业务补充也写在这里</t>
        </is>
      </c>
      <c r="N1" s="9" t="inlineStr">
        <is>
          <t>系统导入用，与缩进一致；新增节点时请填写</t>
        </is>
      </c>
      <c r="O1" s="9" t="inlineStr">
        <is>
          <t>系统导入用；新增节点时请填写</t>
        </is>
      </c>
      <c r="P1" s="9" t="inlineStr"/>
    </row>
    <row r="2" ht="30" customHeight="1">
      <c r="A2" s="10" t="inlineStr">
        <is>
          <t>指标树</t>
        </is>
      </c>
      <c r="B2" s="10" t="inlineStr">
        <is>
          <t>类型</t>
        </is>
      </c>
      <c r="C2" s="11" t="inlineStr">
        <is>
          <t>加/减/其中</t>
        </is>
      </c>
      <c r="D2" s="10" t="inlineStr">
        <is>
          <t>参考值</t>
        </is>
      </c>
      <c r="E2" s="10" t="inlineStr">
        <is>
          <t>单位</t>
        </is>
      </c>
      <c r="F2" s="10" t="inlineStr">
        <is>
          <t>自动校验</t>
        </is>
      </c>
      <c r="G2" s="11" t="inlineStr">
        <is>
          <t>核心指标
（建议）</t>
        </is>
      </c>
      <c r="H2" s="11" t="inlineStr">
        <is>
          <t>好坏方向
（建议）</t>
        </is>
      </c>
      <c r="I2" s="11" t="inlineStr">
        <is>
          <t>比率计算
（建议）</t>
        </is>
      </c>
      <c r="J2" s="11" t="inlineStr">
        <is>
          <t>对应目录指标
（系统候选）</t>
        </is>
      </c>
      <c r="K2" s="10" t="inlineStr">
        <is>
          <t>匹配情况</t>
        </is>
      </c>
      <c r="L2" s="12" t="inlineStr">
        <is>
          <t>业务确认</t>
        </is>
      </c>
      <c r="M2" s="12" t="inlineStr">
        <is>
          <t>备注</t>
        </is>
      </c>
      <c r="N2" s="10" t="inlineStr">
        <is>
          <t>上级指标</t>
        </is>
      </c>
      <c r="O2" s="10" t="inlineStr">
        <is>
          <t>拆解方式</t>
        </is>
      </c>
      <c r="P2" s="10" t="inlineStr">
        <is>
          <t>数值来源</t>
        </is>
      </c>
    </row>
    <row r="3" ht="22" customHeight="1">
      <c r="A3" s="13" t="inlineStr">
        <is>
          <t>一、规模与资本</t>
        </is>
      </c>
      <c r="B3" s="14" t="inlineStr">
        <is>
          <t>板块</t>
        </is>
      </c>
      <c r="C3" s="14" t="n"/>
      <c r="D3" s="15" t="n"/>
      <c r="E3" s="14" t="n"/>
      <c r="F3" s="16" t="n"/>
      <c r="G3" s="14" t="n"/>
      <c r="H3" s="16" t="n"/>
      <c r="I3" s="16" t="n"/>
      <c r="J3" s="16" t="n"/>
      <c r="K3" s="14" t="n"/>
      <c r="L3" s="14" t="n"/>
      <c r="M3" s="16" t="n"/>
      <c r="N3" s="16" t="n"/>
      <c r="O3" s="16" t="n"/>
      <c r="P3" s="16" t="n"/>
    </row>
    <row r="4" outlineLevel="1">
      <c r="A4" s="17" t="inlineStr">
        <is>
          <t>总资产</t>
        </is>
      </c>
      <c r="B4" s="18" t="inlineStr">
        <is>
          <t>指标</t>
        </is>
      </c>
      <c r="C4" s="19" t="n"/>
      <c r="D4" s="20" t="n">
        <v>54379.99</v>
      </c>
      <c r="E4" s="18" t="inlineStr">
        <is>
          <t>亿元</t>
        </is>
      </c>
      <c r="F4" s="21" t="n"/>
      <c r="G4" s="19" t="inlineStr">
        <is>
          <t>是</t>
        </is>
      </c>
      <c r="H4" s="22" t="inlineStr">
        <is>
          <t>越大越好</t>
        </is>
      </c>
      <c r="I4" s="22" t="n"/>
      <c r="J4" s="22" t="n"/>
      <c r="K4" s="23" t="inlineStr">
        <is>
          <t>目录中未找到</t>
        </is>
      </c>
      <c r="L4" s="24" t="n"/>
      <c r="M4" s="25" t="n"/>
      <c r="N4" s="21" t="n"/>
      <c r="O4" s="21" t="n"/>
      <c r="P4" s="21" t="inlineStr">
        <is>
          <t>一览表 2026年7月末（全省，亿元/万户）</t>
        </is>
      </c>
    </row>
    <row r="5" outlineLevel="1">
      <c r="A5" s="17" t="inlineStr">
        <is>
          <t>核心一级资本净额</t>
        </is>
      </c>
      <c r="B5" s="18" t="inlineStr">
        <is>
          <t>指标</t>
        </is>
      </c>
      <c r="C5" s="19" t="n"/>
      <c r="D5" s="20" t="inlineStr">
        <is>
          <t>季度指标</t>
        </is>
      </c>
      <c r="E5" s="18" t="inlineStr">
        <is>
          <t>亿元</t>
        </is>
      </c>
      <c r="F5" s="21" t="n"/>
      <c r="G5" s="19" t="n"/>
      <c r="H5" s="22" t="inlineStr">
        <is>
          <t>越大越好</t>
        </is>
      </c>
      <c r="I5" s="22" t="n"/>
      <c r="J5" s="22" t="n"/>
      <c r="K5" s="23" t="inlineStr">
        <is>
          <t>目录中未找到</t>
        </is>
      </c>
      <c r="L5" s="24" t="n"/>
      <c r="M5" s="25" t="inlineStr">
        <is>
          <t>季度指标</t>
        </is>
      </c>
      <c r="N5" s="21" t="n"/>
      <c r="O5" s="21" t="n"/>
      <c r="P5" s="21" t="inlineStr">
        <is>
          <t>一览表 2026年7月末（全省，亿元/万户）</t>
        </is>
      </c>
    </row>
    <row r="6" outlineLevel="2">
      <c r="A6" s="26" t="inlineStr">
        <is>
          <t>核心一级资本充足率</t>
        </is>
      </c>
      <c r="B6" s="18" t="inlineStr">
        <is>
          <t>比率</t>
        </is>
      </c>
      <c r="C6" s="19" t="n"/>
      <c r="D6" s="27" t="inlineStr">
        <is>
          <t>季度指标</t>
        </is>
      </c>
      <c r="E6" s="18" t="inlineStr">
        <is>
          <t>%</t>
        </is>
      </c>
      <c r="F6" s="21" t="n"/>
      <c r="G6" s="19" t="n"/>
      <c r="H6" s="22" t="inlineStr">
        <is>
          <t>越大越好</t>
        </is>
      </c>
      <c r="I6" s="22" t="inlineStr">
        <is>
          <t>核心一级资本净额 ÷ 风险加权资产</t>
        </is>
      </c>
      <c r="J6" s="22" t="n"/>
      <c r="K6" s="23" t="inlineStr">
        <is>
          <t>目录中未找到</t>
        </is>
      </c>
      <c r="L6" s="24" t="n"/>
      <c r="M6" s="25" t="inlineStr">
        <is>
          <t>季度指标</t>
        </is>
      </c>
      <c r="N6" s="21" t="inlineStr">
        <is>
          <t>核心一级资本净额</t>
        </is>
      </c>
      <c r="O6" s="21" t="inlineStr">
        <is>
          <t>比率</t>
        </is>
      </c>
      <c r="P6" s="21" t="inlineStr">
        <is>
          <t>一览表</t>
        </is>
      </c>
    </row>
    <row r="7" outlineLevel="1">
      <c r="A7" s="17" t="inlineStr">
        <is>
          <t>一级资本净额</t>
        </is>
      </c>
      <c r="B7" s="18" t="inlineStr">
        <is>
          <t>指标</t>
        </is>
      </c>
      <c r="C7" s="19" t="n"/>
      <c r="D7" s="20" t="inlineStr">
        <is>
          <t>季度指标</t>
        </is>
      </c>
      <c r="E7" s="18" t="inlineStr">
        <is>
          <t>亿元</t>
        </is>
      </c>
      <c r="F7" s="21" t="n"/>
      <c r="G7" s="19" t="n"/>
      <c r="H7" s="22" t="inlineStr">
        <is>
          <t>越大越好</t>
        </is>
      </c>
      <c r="I7" s="22" t="n"/>
      <c r="J7" s="22" t="n"/>
      <c r="K7" s="23" t="inlineStr">
        <is>
          <t>目录中未找到</t>
        </is>
      </c>
      <c r="L7" s="24" t="n"/>
      <c r="M7" s="25" t="inlineStr">
        <is>
          <t>季度指标</t>
        </is>
      </c>
      <c r="N7" s="21" t="n"/>
      <c r="O7" s="21" t="n"/>
      <c r="P7" s="21" t="inlineStr">
        <is>
          <t>一览表 2026年7月末（全省，亿元/万户）</t>
        </is>
      </c>
    </row>
    <row r="8" outlineLevel="2">
      <c r="A8" s="26" t="inlineStr">
        <is>
          <t>一级资本充足率</t>
        </is>
      </c>
      <c r="B8" s="18" t="inlineStr">
        <is>
          <t>比率</t>
        </is>
      </c>
      <c r="C8" s="19" t="n"/>
      <c r="D8" s="27" t="inlineStr">
        <is>
          <t>季度指标</t>
        </is>
      </c>
      <c r="E8" s="18" t="inlineStr">
        <is>
          <t>%</t>
        </is>
      </c>
      <c r="F8" s="21" t="n"/>
      <c r="G8" s="19" t="n"/>
      <c r="H8" s="22" t="inlineStr">
        <is>
          <t>越大越好</t>
        </is>
      </c>
      <c r="I8" s="22" t="inlineStr">
        <is>
          <t>一级资本净额 ÷ 风险加权资产</t>
        </is>
      </c>
      <c r="J8" s="22" t="n"/>
      <c r="K8" s="23" t="inlineStr">
        <is>
          <t>目录中未找到</t>
        </is>
      </c>
      <c r="L8" s="24" t="n"/>
      <c r="M8" s="25" t="inlineStr">
        <is>
          <t>季度指标</t>
        </is>
      </c>
      <c r="N8" s="21" t="inlineStr">
        <is>
          <t>一级资本净额</t>
        </is>
      </c>
      <c r="O8" s="21" t="inlineStr">
        <is>
          <t>比率</t>
        </is>
      </c>
      <c r="P8" s="21" t="inlineStr">
        <is>
          <t>一览表</t>
        </is>
      </c>
    </row>
    <row r="9" outlineLevel="1">
      <c r="A9" s="17" t="inlineStr">
        <is>
          <t>资本净额</t>
        </is>
      </c>
      <c r="B9" s="18" t="inlineStr">
        <is>
          <t>指标</t>
        </is>
      </c>
      <c r="C9" s="19" t="n"/>
      <c r="D9" s="20" t="inlineStr">
        <is>
          <t>季度指标</t>
        </is>
      </c>
      <c r="E9" s="18" t="inlineStr">
        <is>
          <t>亿元</t>
        </is>
      </c>
      <c r="F9" s="21" t="n"/>
      <c r="G9" s="19" t="n"/>
      <c r="H9" s="22" t="inlineStr">
        <is>
          <t>越大越好</t>
        </is>
      </c>
      <c r="I9" s="22" t="n"/>
      <c r="J9" s="22" t="n"/>
      <c r="K9" s="23" t="inlineStr">
        <is>
          <t>目录中未找到</t>
        </is>
      </c>
      <c r="L9" s="24" t="n"/>
      <c r="M9" s="25" t="inlineStr">
        <is>
          <t>季度指标</t>
        </is>
      </c>
      <c r="N9" s="21" t="n"/>
      <c r="O9" s="21" t="n"/>
      <c r="P9" s="21" t="inlineStr">
        <is>
          <t>一览表 2026年7月末（全省，亿元/万户）</t>
        </is>
      </c>
    </row>
    <row r="10" outlineLevel="2">
      <c r="A10" s="26" t="inlineStr">
        <is>
          <t>资本充足率</t>
        </is>
      </c>
      <c r="B10" s="18" t="inlineStr">
        <is>
          <t>比率</t>
        </is>
      </c>
      <c r="C10" s="19" t="n"/>
      <c r="D10" s="27" t="inlineStr">
        <is>
          <t>季度指标</t>
        </is>
      </c>
      <c r="E10" s="18" t="inlineStr">
        <is>
          <t>%</t>
        </is>
      </c>
      <c r="F10" s="21" t="n"/>
      <c r="G10" s="19" t="n"/>
      <c r="H10" s="22" t="inlineStr">
        <is>
          <t>越大越好</t>
        </is>
      </c>
      <c r="I10" s="22" t="inlineStr">
        <is>
          <t>资本净额 ÷ 风险加权资产</t>
        </is>
      </c>
      <c r="J10" s="22" t="inlineStr">
        <is>
          <t>资本充足比率</t>
        </is>
      </c>
      <c r="K10" s="28" t="inlineStr">
        <is>
          <t>完全一致</t>
        </is>
      </c>
      <c r="L10" s="24" t="n"/>
      <c r="M10" s="25" t="inlineStr">
        <is>
          <t>季度指标</t>
        </is>
      </c>
      <c r="N10" s="21" t="inlineStr">
        <is>
          <t>资本净额</t>
        </is>
      </c>
      <c r="O10" s="21" t="inlineStr">
        <is>
          <t>比率</t>
        </is>
      </c>
      <c r="P10" s="21" t="inlineStr">
        <is>
          <t>一览表</t>
        </is>
      </c>
    </row>
    <row r="11" outlineLevel="1">
      <c r="A11" s="17" t="inlineStr">
        <is>
          <t>风险加权资产</t>
        </is>
      </c>
      <c r="B11" s="18" t="inlineStr">
        <is>
          <t>指标</t>
        </is>
      </c>
      <c r="C11" s="19" t="n"/>
      <c r="D11" s="20" t="inlineStr">
        <is>
          <t>季度指标</t>
        </is>
      </c>
      <c r="E11" s="18" t="inlineStr">
        <is>
          <t>亿元</t>
        </is>
      </c>
      <c r="F11" s="21" t="n"/>
      <c r="G11" s="19" t="n"/>
      <c r="H11" s="22" t="inlineStr">
        <is>
          <t>无明显好坏</t>
        </is>
      </c>
      <c r="I11" s="22" t="n"/>
      <c r="J11" s="22" t="n"/>
      <c r="K11" s="23" t="inlineStr">
        <is>
          <t>目录中未找到</t>
        </is>
      </c>
      <c r="L11" s="24" t="n"/>
      <c r="M11" s="25" t="inlineStr">
        <is>
          <t>季度指标</t>
        </is>
      </c>
      <c r="N11" s="21" t="n"/>
      <c r="O11" s="21" t="n"/>
      <c r="P11" s="21" t="inlineStr">
        <is>
          <t>一览表 2026年7月末（全省，亿元/万户）</t>
        </is>
      </c>
    </row>
    <row r="12" ht="22" customHeight="1">
      <c r="A12" s="13" t="inlineStr">
        <is>
          <t>二、存款</t>
        </is>
      </c>
      <c r="B12" s="14" t="inlineStr">
        <is>
          <t>板块</t>
        </is>
      </c>
      <c r="C12" s="14" t="n"/>
      <c r="D12" s="15" t="n"/>
      <c r="E12" s="14" t="n"/>
      <c r="F12" s="16" t="n"/>
      <c r="G12" s="14" t="n"/>
      <c r="H12" s="16" t="n"/>
      <c r="I12" s="16" t="n"/>
      <c r="J12" s="16" t="n"/>
      <c r="K12" s="14" t="n"/>
      <c r="L12" s="14" t="n"/>
      <c r="M12" s="16" t="n"/>
      <c r="N12" s="16" t="n"/>
      <c r="O12" s="16" t="n"/>
      <c r="P12" s="16" t="n"/>
    </row>
    <row r="13" outlineLevel="1">
      <c r="A13" s="17" t="inlineStr">
        <is>
          <t>各项存款</t>
        </is>
      </c>
      <c r="B13" s="18" t="inlineStr">
        <is>
          <t>指标</t>
        </is>
      </c>
      <c r="C13" s="19" t="n"/>
      <c r="D13" s="20" t="n">
        <v>44389.53</v>
      </c>
      <c r="E13" s="18" t="inlineStr">
        <is>
          <t>亿元</t>
        </is>
      </c>
      <c r="F13" s="21" t="n"/>
      <c r="G13" s="19" t="inlineStr">
        <is>
          <t>是</t>
        </is>
      </c>
      <c r="H13" s="22" t="inlineStr">
        <is>
          <t>越大越好</t>
        </is>
      </c>
      <c r="I13" s="22" t="n"/>
      <c r="J13" s="22" t="inlineStr">
        <is>
          <t>各项存款余额</t>
        </is>
      </c>
      <c r="K13" s="28" t="inlineStr">
        <is>
          <t>完全一致</t>
        </is>
      </c>
      <c r="L13" s="24" t="n"/>
      <c r="M13" s="25" t="n"/>
      <c r="N13" s="21" t="n"/>
      <c r="O13" s="21" t="n"/>
      <c r="P13" s="21" t="inlineStr">
        <is>
          <t>一览表 2026年7月末（全省，亿元/万户）</t>
        </is>
      </c>
    </row>
    <row r="14" outlineLevel="2">
      <c r="A14" s="29" t="inlineStr">
        <is>
          <t>〔按客户类型〕</t>
        </is>
      </c>
      <c r="B14" s="18" t="inlineStr">
        <is>
          <t>拆解方式</t>
        </is>
      </c>
      <c r="C14" s="18" t="n"/>
      <c r="D14" s="20" t="n"/>
      <c r="E14" s="18" t="n"/>
      <c r="F14" s="21">
        <f>IF((COUNTIFS($N$3:$N$337,N14,$O$3:$O$337,O14,$C$3:$C$337,"加")+COUNTIFS($N$3:$N$337,N14,$O$3:$O$337,O14,$C$3:$C$337,"减"))=0,"其中项，不参与加总",IF(ISNUMBER(D13)=FALSE,"上级无数值，无法校验",IF(SUMPRODUCT(($N$3:$N$337=N14)*($O$3:$O$337=O14)*(($C$3:$C$337="加")+($C$3:$C$337="减"))*(ISNUMBER($D$3:$D$337)=FALSE))&gt;0,"部分下级无数值，无法校验",IF(ABS(D13-(SUMIFS($D$3:$D$337,$N$3:$N$337,N14,$O$3:$O$337,O14,$C$3:$C$337,"加")-SUMIFS($D$3:$D$337,$N$3:$N$337,N14,$O$3:$O$337,O14,$C$3:$C$337,"减")))&lt;=MAX(0.05,ABS(D13)*0.0005),"✓ 合计与上级一致","✗ 合计与上级相差 "&amp;TEXT(D13-(SUMIFS($D$3:$D$337,$N$3:$N$337,N14,$O$3:$O$337,O14,$C$3:$C$337,"加")-SUMIFS($D$3:$D$337,$N$3:$N$337,N14,$O$3:$O$337,O14,$C$3:$C$337,"减")),"#,##0.00")))))</f>
        <v/>
      </c>
      <c r="G14" s="18" t="n"/>
      <c r="H14" s="21" t="n"/>
      <c r="I14" s="21" t="n"/>
      <c r="J14" s="21" t="n"/>
      <c r="K14" s="18" t="n"/>
      <c r="L14" s="18" t="n"/>
      <c r="M14" s="21" t="n"/>
      <c r="N14" s="21" t="inlineStr">
        <is>
          <t>各项存款</t>
        </is>
      </c>
      <c r="O14" s="21" t="inlineStr">
        <is>
          <t>按客户类型</t>
        </is>
      </c>
      <c r="P14" s="21" t="n"/>
    </row>
    <row r="15" outlineLevel="2">
      <c r="A15" s="30" t="inlineStr">
        <is>
          <t>个人存款</t>
        </is>
      </c>
      <c r="B15" s="18" t="inlineStr">
        <is>
          <t>指标</t>
        </is>
      </c>
      <c r="C15" s="19" t="inlineStr">
        <is>
          <t>加</t>
        </is>
      </c>
      <c r="D15" s="20" t="n">
        <v>33238.53</v>
      </c>
      <c r="E15" s="18" t="inlineStr">
        <is>
          <t>亿元</t>
        </is>
      </c>
      <c r="F15" s="21" t="n"/>
      <c r="G15" s="19" t="inlineStr">
        <is>
          <t>是</t>
        </is>
      </c>
      <c r="H15" s="22" t="inlineStr">
        <is>
          <t>越大越好</t>
        </is>
      </c>
      <c r="I15" s="22" t="n"/>
      <c r="J15" s="22" t="inlineStr">
        <is>
          <t>个人存款余额</t>
        </is>
      </c>
      <c r="K15" s="28" t="inlineStr">
        <is>
          <t>完全一致</t>
        </is>
      </c>
      <c r="L15" s="24" t="n"/>
      <c r="M15" s="25" t="n"/>
      <c r="N15" s="21" t="inlineStr">
        <is>
          <t>各项存款</t>
        </is>
      </c>
      <c r="O15" s="21" t="inlineStr">
        <is>
          <t>按客户类型</t>
        </is>
      </c>
      <c r="P15" s="21" t="inlineStr">
        <is>
          <t>一览表 2026年7月末（全省，亿元/万户）</t>
        </is>
      </c>
    </row>
    <row r="16" outlineLevel="3">
      <c r="A16" s="31" t="inlineStr">
        <is>
          <t>个人存款占比</t>
        </is>
      </c>
      <c r="B16" s="18" t="inlineStr">
        <is>
          <t>比率</t>
        </is>
      </c>
      <c r="C16" s="19" t="n"/>
      <c r="D16" s="27" t="n">
        <v>0.75</v>
      </c>
      <c r="E16" s="18" t="inlineStr">
        <is>
          <t>%</t>
        </is>
      </c>
      <c r="F16" s="21" t="n"/>
      <c r="G16" s="19" t="n"/>
      <c r="H16" s="22" t="inlineStr">
        <is>
          <t>无明显好坏</t>
        </is>
      </c>
      <c r="I16" s="22" t="inlineStr">
        <is>
          <t>个人存款 ÷ 各项存款</t>
        </is>
      </c>
      <c r="J16" s="22" t="inlineStr">
        <is>
          <t>个人存款余额占比</t>
        </is>
      </c>
      <c r="K16" s="32" t="inlineStr">
        <is>
          <t>近似，请核对</t>
        </is>
      </c>
      <c r="L16" s="24" t="n"/>
      <c r="M16" s="25" t="n"/>
      <c r="N16" s="21" t="inlineStr">
        <is>
          <t>个人存款</t>
        </is>
      </c>
      <c r="O16" s="21" t="inlineStr">
        <is>
          <t>比率</t>
        </is>
      </c>
      <c r="P16" s="21" t="inlineStr">
        <is>
          <t>一览表</t>
        </is>
      </c>
    </row>
    <row r="17" outlineLevel="3">
      <c r="A17" s="33" t="inlineStr">
        <is>
          <t>〔按存款类型〕</t>
        </is>
      </c>
      <c r="B17" s="18" t="inlineStr">
        <is>
          <t>拆解方式</t>
        </is>
      </c>
      <c r="C17" s="18" t="n"/>
      <c r="D17" s="20" t="n"/>
      <c r="E17" s="18" t="n"/>
      <c r="F17" s="21">
        <f>IF((COUNTIFS($N$3:$N$337,N17,$O$3:$O$337,O17,$C$3:$C$337,"加")+COUNTIFS($N$3:$N$337,N17,$O$3:$O$337,O17,$C$3:$C$337,"减"))=0,"其中项，不参与加总",IF(ISNUMBER(D15)=FALSE,"上级无数值，无法校验",IF(SUMPRODUCT(($N$3:$N$337=N17)*($O$3:$O$337=O17)*(($C$3:$C$337="加")+($C$3:$C$337="减"))*(ISNUMBER($D$3:$D$337)=FALSE))&gt;0,"部分下级无数值，无法校验",IF(ABS(D15-(SUMIFS($D$3:$D$337,$N$3:$N$337,N17,$O$3:$O$337,O17,$C$3:$C$337,"加")-SUMIFS($D$3:$D$337,$N$3:$N$337,N17,$O$3:$O$337,O17,$C$3:$C$337,"减")))&lt;=MAX(0.05,ABS(D15)*0.0005),"✓ 合计与上级一致","✗ 合计与上级相差 "&amp;TEXT(D15-(SUMIFS($D$3:$D$337,$N$3:$N$337,N17,$O$3:$O$337,O17,$C$3:$C$337,"加")-SUMIFS($D$3:$D$337,$N$3:$N$337,N17,$O$3:$O$337,O17,$C$3:$C$337,"减")),"#,##0.00")))))</f>
        <v/>
      </c>
      <c r="G17" s="18" t="n"/>
      <c r="H17" s="21" t="n"/>
      <c r="I17" s="21" t="n"/>
      <c r="J17" s="21" t="n"/>
      <c r="K17" s="18" t="n"/>
      <c r="L17" s="18" t="n"/>
      <c r="M17" s="21" t="n"/>
      <c r="N17" s="21" t="inlineStr">
        <is>
          <t>个人存款</t>
        </is>
      </c>
      <c r="O17" s="21" t="inlineStr">
        <is>
          <t>按存款类型</t>
        </is>
      </c>
      <c r="P17" s="21" t="n"/>
    </row>
    <row r="18" outlineLevel="3">
      <c r="A18" s="34" t="inlineStr">
        <is>
          <t>个人活期存款</t>
        </is>
      </c>
      <c r="B18" s="18" t="inlineStr">
        <is>
          <t>指标</t>
        </is>
      </c>
      <c r="C18" s="19" t="inlineStr">
        <is>
          <t>加</t>
        </is>
      </c>
      <c r="D18" s="20" t="n">
        <v>4647.38</v>
      </c>
      <c r="E18" s="18" t="inlineStr">
        <is>
          <t>亿元</t>
        </is>
      </c>
      <c r="F18" s="21" t="n"/>
      <c r="G18" s="19" t="n"/>
      <c r="H18" s="22" t="inlineStr">
        <is>
          <t>越大越好</t>
        </is>
      </c>
      <c r="I18" s="22" t="n"/>
      <c r="J18" s="22" t="inlineStr">
        <is>
          <t>个人活期存款余额</t>
        </is>
      </c>
      <c r="K18" s="28" t="inlineStr">
        <is>
          <t>完全一致</t>
        </is>
      </c>
      <c r="L18" s="24" t="n"/>
      <c r="M18" s="25" t="n"/>
      <c r="N18" s="21" t="inlineStr">
        <is>
          <t>个人存款</t>
        </is>
      </c>
      <c r="O18" s="21" t="inlineStr">
        <is>
          <t>按存款类型</t>
        </is>
      </c>
      <c r="P18" s="21" t="inlineStr">
        <is>
          <t>一览表 2026年7月末（全省，亿元/万户）</t>
        </is>
      </c>
    </row>
    <row r="19" outlineLevel="4">
      <c r="A19" s="35" t="inlineStr">
        <is>
          <t>个人活期存款占个人存款比</t>
        </is>
      </c>
      <c r="B19" s="18" t="inlineStr">
        <is>
          <t>比率</t>
        </is>
      </c>
      <c r="C19" s="19" t="n"/>
      <c r="D19" s="27" t="n">
        <v>0.14</v>
      </c>
      <c r="E19" s="18" t="inlineStr">
        <is>
          <t>%</t>
        </is>
      </c>
      <c r="F19" s="21" t="n"/>
      <c r="G19" s="19" t="n"/>
      <c r="H19" s="22" t="inlineStr">
        <is>
          <t>无明显好坏</t>
        </is>
      </c>
      <c r="I19" s="22" t="inlineStr">
        <is>
          <t>个人活期存款 ÷ 个人存款</t>
        </is>
      </c>
      <c r="J19" s="22" t="inlineStr">
        <is>
          <t>个人活期存款余额占比</t>
        </is>
      </c>
      <c r="K19" s="32" t="inlineStr">
        <is>
          <t>近似，请核对</t>
        </is>
      </c>
      <c r="L19" s="24" t="n"/>
      <c r="M19" s="25" t="n"/>
      <c r="N19" s="21" t="inlineStr">
        <is>
          <t>个人活期存款</t>
        </is>
      </c>
      <c r="O19" s="21" t="inlineStr">
        <is>
          <t>比率</t>
        </is>
      </c>
      <c r="P19" s="21" t="inlineStr">
        <is>
          <t>一览表</t>
        </is>
      </c>
    </row>
    <row r="20" outlineLevel="3">
      <c r="A20" s="34" t="inlineStr">
        <is>
          <t>个人定期存款</t>
        </is>
      </c>
      <c r="B20" s="18" t="inlineStr">
        <is>
          <t>指标</t>
        </is>
      </c>
      <c r="C20" s="19" t="inlineStr">
        <is>
          <t>加</t>
        </is>
      </c>
      <c r="D20" s="20" t="n">
        <v>28591.15</v>
      </c>
      <c r="E20" s="18" t="inlineStr">
        <is>
          <t>亿元</t>
        </is>
      </c>
      <c r="F20" s="21" t="n"/>
      <c r="G20" s="19" t="n"/>
      <c r="H20" s="22" t="inlineStr">
        <is>
          <t>越大越好</t>
        </is>
      </c>
      <c r="I20" s="22" t="n"/>
      <c r="J20" s="22" t="inlineStr">
        <is>
          <t>个人定期存款余额</t>
        </is>
      </c>
      <c r="K20" s="28" t="inlineStr">
        <is>
          <t>完全一致</t>
        </is>
      </c>
      <c r="L20" s="24" t="n"/>
      <c r="M20" s="25" t="n"/>
      <c r="N20" s="21" t="inlineStr">
        <is>
          <t>个人存款</t>
        </is>
      </c>
      <c r="O20" s="21" t="inlineStr">
        <is>
          <t>按存款类型</t>
        </is>
      </c>
      <c r="P20" s="21" t="inlineStr">
        <is>
          <t>一览表 2026年7月末（全省，亿元/万户）</t>
        </is>
      </c>
    </row>
    <row r="21" outlineLevel="4">
      <c r="A21" s="35" t="inlineStr">
        <is>
          <t>个人定期存款占个人存款比</t>
        </is>
      </c>
      <c r="B21" s="18" t="inlineStr">
        <is>
          <t>比率</t>
        </is>
      </c>
      <c r="C21" s="19" t="n"/>
      <c r="D21" s="27" t="n">
        <v>0.86</v>
      </c>
      <c r="E21" s="18" t="inlineStr">
        <is>
          <t>%</t>
        </is>
      </c>
      <c r="F21" s="21" t="n"/>
      <c r="G21" s="19" t="n"/>
      <c r="H21" s="22" t="inlineStr">
        <is>
          <t>无明显好坏</t>
        </is>
      </c>
      <c r="I21" s="22" t="inlineStr">
        <is>
          <t>个人定期存款 ÷ 个人存款</t>
        </is>
      </c>
      <c r="J21" s="22" t="n"/>
      <c r="K21" s="23" t="inlineStr">
        <is>
          <t>目录中未找到</t>
        </is>
      </c>
      <c r="L21" s="24" t="n"/>
      <c r="M21" s="25" t="n"/>
      <c r="N21" s="21" t="inlineStr">
        <is>
          <t>个人定期存款</t>
        </is>
      </c>
      <c r="O21" s="21" t="inlineStr">
        <is>
          <t>比率</t>
        </is>
      </c>
      <c r="P21" s="21" t="inlineStr">
        <is>
          <t>一览表</t>
        </is>
      </c>
    </row>
    <row r="22" outlineLevel="4">
      <c r="A22" s="36" t="inlineStr">
        <is>
          <t>〔按存款期限〕</t>
        </is>
      </c>
      <c r="B22" s="18" t="inlineStr">
        <is>
          <t>拆解方式</t>
        </is>
      </c>
      <c r="C22" s="18" t="n"/>
      <c r="D22" s="20" t="n"/>
      <c r="E22" s="18" t="n"/>
      <c r="F22" s="21">
        <f>IF((COUNTIFS($N$3:$N$337,N22,$O$3:$O$337,O22,$C$3:$C$337,"加")+COUNTIFS($N$3:$N$337,N22,$O$3:$O$337,O22,$C$3:$C$337,"减"))=0,"其中项，不参与加总",IF(ISNUMBER(D20)=FALSE,"上级无数值，无法校验",IF(SUMPRODUCT(($N$3:$N$337=N22)*($O$3:$O$337=O22)*(($C$3:$C$337="加")+($C$3:$C$337="减"))*(ISNUMBER($D$3:$D$337)=FALSE))&gt;0,"部分下级无数值，无法校验",IF(ABS(D20-(SUMIFS($D$3:$D$337,$N$3:$N$337,N22,$O$3:$O$337,O22,$C$3:$C$337,"加")-SUMIFS($D$3:$D$337,$N$3:$N$337,N22,$O$3:$O$337,O22,$C$3:$C$337,"减")))&lt;=MAX(0.05,ABS(D20)*0.0005),"✓ 合计与上级一致","✗ 合计与上级相差 "&amp;TEXT(D20-(SUMIFS($D$3:$D$337,$N$3:$N$337,N22,$O$3:$O$337,O22,$C$3:$C$337,"加")-SUMIFS($D$3:$D$337,$N$3:$N$337,N22,$O$3:$O$337,O22,$C$3:$C$337,"减")),"#,##0.00")))))</f>
        <v/>
      </c>
      <c r="G22" s="18" t="n"/>
      <c r="H22" s="21" t="n"/>
      <c r="I22" s="21" t="n"/>
      <c r="J22" s="21" t="n"/>
      <c r="K22" s="18" t="n"/>
      <c r="L22" s="18" t="n"/>
      <c r="M22" s="21" t="inlineStr">
        <is>
          <t>报表只列了四个期限，合计与个人定期存款不相等，可能还有其他期限，请业务补充或确认</t>
        </is>
      </c>
      <c r="N22" s="21" t="inlineStr">
        <is>
          <t>个人定期存款</t>
        </is>
      </c>
      <c r="O22" s="21" t="inlineStr">
        <is>
          <t>按存款期限</t>
        </is>
      </c>
      <c r="P22" s="21" t="n"/>
    </row>
    <row r="23" outlineLevel="4">
      <c r="A23" s="37" t="inlineStr">
        <is>
          <t>个人定期存款-一年期及以下</t>
        </is>
      </c>
      <c r="B23" s="18" t="inlineStr">
        <is>
          <t>指标</t>
        </is>
      </c>
      <c r="C23" s="19" t="inlineStr">
        <is>
          <t>加</t>
        </is>
      </c>
      <c r="D23" s="20" t="n">
        <v>7335.94</v>
      </c>
      <c r="E23" s="18" t="inlineStr">
        <is>
          <t>亿元</t>
        </is>
      </c>
      <c r="F23" s="21" t="n"/>
      <c r="G23" s="19" t="n"/>
      <c r="H23" s="22" t="inlineStr">
        <is>
          <t>越大越好</t>
        </is>
      </c>
      <c r="I23" s="22" t="n"/>
      <c r="J23" s="22" t="n"/>
      <c r="K23" s="23" t="inlineStr">
        <is>
          <t>目录中未找到</t>
        </is>
      </c>
      <c r="L23" s="24" t="n"/>
      <c r="M23" s="25" t="n"/>
      <c r="N23" s="21" t="inlineStr">
        <is>
          <t>个人定期存款</t>
        </is>
      </c>
      <c r="O23" s="21" t="inlineStr">
        <is>
          <t>按存款期限</t>
        </is>
      </c>
      <c r="P23" s="21" t="inlineStr">
        <is>
          <t>一览表 2026年7月末（全省，亿元/万户）</t>
        </is>
      </c>
    </row>
    <row r="24" outlineLevel="5">
      <c r="A24" s="38" t="inlineStr">
        <is>
          <t>一年期及以下占个人定期比</t>
        </is>
      </c>
      <c r="B24" s="18" t="inlineStr">
        <is>
          <t>比率</t>
        </is>
      </c>
      <c r="C24" s="19" t="n"/>
      <c r="D24" s="27" t="n">
        <v>0.26</v>
      </c>
      <c r="E24" s="18" t="inlineStr">
        <is>
          <t>%</t>
        </is>
      </c>
      <c r="F24" s="21" t="n"/>
      <c r="G24" s="19" t="n"/>
      <c r="H24" s="22" t="inlineStr">
        <is>
          <t>无明显好坏</t>
        </is>
      </c>
      <c r="I24" s="22" t="inlineStr">
        <is>
          <t>个人定期存款-一年期及以下 ÷ 个人定期存款</t>
        </is>
      </c>
      <c r="J24" s="22" t="n"/>
      <c r="K24" s="23" t="inlineStr">
        <is>
          <t>目录中未找到</t>
        </is>
      </c>
      <c r="L24" s="24" t="n"/>
      <c r="M24" s="25" t="n"/>
      <c r="N24" s="21" t="inlineStr">
        <is>
          <t>个人定期存款-一年期及以下</t>
        </is>
      </c>
      <c r="O24" s="21" t="inlineStr">
        <is>
          <t>比率</t>
        </is>
      </c>
      <c r="P24" s="21" t="inlineStr">
        <is>
          <t>一览表</t>
        </is>
      </c>
    </row>
    <row r="25" outlineLevel="4">
      <c r="A25" s="37" t="inlineStr">
        <is>
          <t>个人定期存款-二年期</t>
        </is>
      </c>
      <c r="B25" s="18" t="inlineStr">
        <is>
          <t>指标</t>
        </is>
      </c>
      <c r="C25" s="19" t="inlineStr">
        <is>
          <t>加</t>
        </is>
      </c>
      <c r="D25" s="20" t="n">
        <v>3611.3</v>
      </c>
      <c r="E25" s="18" t="inlineStr">
        <is>
          <t>亿元</t>
        </is>
      </c>
      <c r="F25" s="21" t="n"/>
      <c r="G25" s="19" t="n"/>
      <c r="H25" s="22" t="inlineStr">
        <is>
          <t>越大越好</t>
        </is>
      </c>
      <c r="I25" s="22" t="n"/>
      <c r="J25" s="22" t="inlineStr">
        <is>
          <t>个人两年定期存款余额</t>
        </is>
      </c>
      <c r="K25" s="32" t="inlineStr">
        <is>
          <t>近似，请核对</t>
        </is>
      </c>
      <c r="L25" s="24" t="n"/>
      <c r="M25" s="25" t="n"/>
      <c r="N25" s="21" t="inlineStr">
        <is>
          <t>个人定期存款</t>
        </is>
      </c>
      <c r="O25" s="21" t="inlineStr">
        <is>
          <t>按存款期限</t>
        </is>
      </c>
      <c r="P25" s="21" t="inlineStr">
        <is>
          <t>一览表 2026年7月末（全省，亿元/万户）</t>
        </is>
      </c>
    </row>
    <row r="26" outlineLevel="5">
      <c r="A26" s="38" t="inlineStr">
        <is>
          <t>二年期占个人定期比</t>
        </is>
      </c>
      <c r="B26" s="18" t="inlineStr">
        <is>
          <t>比率</t>
        </is>
      </c>
      <c r="C26" s="19" t="n"/>
      <c r="D26" s="27" t="n">
        <v>0.13</v>
      </c>
      <c r="E26" s="18" t="inlineStr">
        <is>
          <t>%</t>
        </is>
      </c>
      <c r="F26" s="21" t="n"/>
      <c r="G26" s="19" t="n"/>
      <c r="H26" s="22" t="inlineStr">
        <is>
          <t>无明显好坏</t>
        </is>
      </c>
      <c r="I26" s="22" t="inlineStr">
        <is>
          <t>个人定期存款-二年期 ÷ 个人定期存款</t>
        </is>
      </c>
      <c r="J26" s="22" t="n"/>
      <c r="K26" s="23" t="inlineStr">
        <is>
          <t>目录中未找到</t>
        </is>
      </c>
      <c r="L26" s="24" t="n"/>
      <c r="M26" s="25" t="n"/>
      <c r="N26" s="21" t="inlineStr">
        <is>
          <t>个人定期存款-二年期</t>
        </is>
      </c>
      <c r="O26" s="21" t="inlineStr">
        <is>
          <t>比率</t>
        </is>
      </c>
      <c r="P26" s="21" t="inlineStr">
        <is>
          <t>一览表</t>
        </is>
      </c>
    </row>
    <row r="27" outlineLevel="4">
      <c r="A27" s="37" t="inlineStr">
        <is>
          <t>个人定期存款-三年期</t>
        </is>
      </c>
      <c r="B27" s="18" t="inlineStr">
        <is>
          <t>指标</t>
        </is>
      </c>
      <c r="C27" s="19" t="inlineStr">
        <is>
          <t>加</t>
        </is>
      </c>
      <c r="D27" s="20" t="n">
        <v>15018.54</v>
      </c>
      <c r="E27" s="18" t="inlineStr">
        <is>
          <t>亿元</t>
        </is>
      </c>
      <c r="F27" s="21" t="n"/>
      <c r="G27" s="19" t="n"/>
      <c r="H27" s="22" t="inlineStr">
        <is>
          <t>越大越好</t>
        </is>
      </c>
      <c r="I27" s="22" t="n"/>
      <c r="J27" s="22" t="inlineStr">
        <is>
          <t>个人三年定期存款余额</t>
        </is>
      </c>
      <c r="K27" s="32" t="inlineStr">
        <is>
          <t>近似，请核对</t>
        </is>
      </c>
      <c r="L27" s="24" t="n"/>
      <c r="M27" s="25" t="n"/>
      <c r="N27" s="21" t="inlineStr">
        <is>
          <t>个人定期存款</t>
        </is>
      </c>
      <c r="O27" s="21" t="inlineStr">
        <is>
          <t>按存款期限</t>
        </is>
      </c>
      <c r="P27" s="21" t="inlineStr">
        <is>
          <t>一览表 2026年7月末（全省，亿元/万户）</t>
        </is>
      </c>
    </row>
    <row r="28" outlineLevel="5">
      <c r="A28" s="38" t="inlineStr">
        <is>
          <t>三年期占个人定期比</t>
        </is>
      </c>
      <c r="B28" s="18" t="inlineStr">
        <is>
          <t>比率</t>
        </is>
      </c>
      <c r="C28" s="19" t="n"/>
      <c r="D28" s="27" t="n">
        <v>0.53</v>
      </c>
      <c r="E28" s="18" t="inlineStr">
        <is>
          <t>%</t>
        </is>
      </c>
      <c r="F28" s="21" t="n"/>
      <c r="G28" s="19" t="n"/>
      <c r="H28" s="22" t="inlineStr">
        <is>
          <t>无明显好坏</t>
        </is>
      </c>
      <c r="I28" s="22" t="inlineStr">
        <is>
          <t>个人定期存款-三年期 ÷ 个人定期存款</t>
        </is>
      </c>
      <c r="J28" s="22" t="n"/>
      <c r="K28" s="23" t="inlineStr">
        <is>
          <t>目录中未找到</t>
        </is>
      </c>
      <c r="L28" s="24" t="n"/>
      <c r="M28" s="25" t="n"/>
      <c r="N28" s="21" t="inlineStr">
        <is>
          <t>个人定期存款-三年期</t>
        </is>
      </c>
      <c r="O28" s="21" t="inlineStr">
        <is>
          <t>比率</t>
        </is>
      </c>
      <c r="P28" s="21" t="inlineStr">
        <is>
          <t>一览表</t>
        </is>
      </c>
    </row>
    <row r="29" outlineLevel="4">
      <c r="A29" s="37" t="inlineStr">
        <is>
          <t>个人定期存款-五年期</t>
        </is>
      </c>
      <c r="B29" s="18" t="inlineStr">
        <is>
          <t>指标</t>
        </is>
      </c>
      <c r="C29" s="19" t="inlineStr">
        <is>
          <t>加</t>
        </is>
      </c>
      <c r="D29" s="20" t="n">
        <v>473.53</v>
      </c>
      <c r="E29" s="18" t="inlineStr">
        <is>
          <t>亿元</t>
        </is>
      </c>
      <c r="F29" s="21" t="n"/>
      <c r="G29" s="19" t="n"/>
      <c r="H29" s="22" t="inlineStr">
        <is>
          <t>越大越好</t>
        </is>
      </c>
      <c r="I29" s="22" t="n"/>
      <c r="J29" s="22" t="n"/>
      <c r="K29" s="23" t="inlineStr">
        <is>
          <t>目录中未找到</t>
        </is>
      </c>
      <c r="L29" s="24" t="n"/>
      <c r="M29" s="25" t="n"/>
      <c r="N29" s="21" t="inlineStr">
        <is>
          <t>个人定期存款</t>
        </is>
      </c>
      <c r="O29" s="21" t="inlineStr">
        <is>
          <t>按存款期限</t>
        </is>
      </c>
      <c r="P29" s="21" t="inlineStr">
        <is>
          <t>一览表 2026年7月末（全省，亿元/万户）</t>
        </is>
      </c>
    </row>
    <row r="30" outlineLevel="5">
      <c r="A30" s="38" t="inlineStr">
        <is>
          <t>五年期占个人定期比</t>
        </is>
      </c>
      <c r="B30" s="18" t="inlineStr">
        <is>
          <t>比率</t>
        </is>
      </c>
      <c r="C30" s="19" t="n"/>
      <c r="D30" s="27" t="n">
        <v>0.02</v>
      </c>
      <c r="E30" s="18" t="inlineStr">
        <is>
          <t>%</t>
        </is>
      </c>
      <c r="F30" s="21" t="n"/>
      <c r="G30" s="19" t="n"/>
      <c r="H30" s="22" t="inlineStr">
        <is>
          <t>无明显好坏</t>
        </is>
      </c>
      <c r="I30" s="22" t="inlineStr">
        <is>
          <t>个人定期存款-五年期 ÷ 个人定期存款</t>
        </is>
      </c>
      <c r="J30" s="22" t="n"/>
      <c r="K30" s="23" t="inlineStr">
        <is>
          <t>目录中未找到</t>
        </is>
      </c>
      <c r="L30" s="24" t="n"/>
      <c r="M30" s="25" t="n"/>
      <c r="N30" s="21" t="inlineStr">
        <is>
          <t>个人定期存款-五年期</t>
        </is>
      </c>
      <c r="O30" s="21" t="inlineStr">
        <is>
          <t>比率</t>
        </is>
      </c>
      <c r="P30" s="21" t="inlineStr">
        <is>
          <t>一览表</t>
        </is>
      </c>
    </row>
    <row r="31" outlineLevel="2">
      <c r="A31" s="30" t="inlineStr">
        <is>
          <t>对公存款</t>
        </is>
      </c>
      <c r="B31" s="18" t="inlineStr">
        <is>
          <t>指标</t>
        </is>
      </c>
      <c r="C31" s="19" t="inlineStr">
        <is>
          <t>加</t>
        </is>
      </c>
      <c r="D31" s="20" t="n">
        <v>11151</v>
      </c>
      <c r="E31" s="18" t="inlineStr">
        <is>
          <t>亿元</t>
        </is>
      </c>
      <c r="F31" s="21" t="n"/>
      <c r="G31" s="19" t="inlineStr">
        <is>
          <t>是</t>
        </is>
      </c>
      <c r="H31" s="22" t="inlineStr">
        <is>
          <t>越大越好</t>
        </is>
      </c>
      <c r="I31" s="22" t="n"/>
      <c r="J31" s="22" t="inlineStr">
        <is>
          <t>对公存款余额</t>
        </is>
      </c>
      <c r="K31" s="28" t="inlineStr">
        <is>
          <t>完全一致</t>
        </is>
      </c>
      <c r="L31" s="24" t="n"/>
      <c r="M31" s="25" t="n"/>
      <c r="N31" s="21" t="inlineStr">
        <is>
          <t>各项存款</t>
        </is>
      </c>
      <c r="O31" s="21" t="inlineStr">
        <is>
          <t>按客户类型</t>
        </is>
      </c>
      <c r="P31" s="21" t="inlineStr">
        <is>
          <t>一览表 2026年7月末（全省，亿元/万户）</t>
        </is>
      </c>
    </row>
    <row r="32" outlineLevel="3">
      <c r="A32" s="31" t="inlineStr">
        <is>
          <t>对公存款占比</t>
        </is>
      </c>
      <c r="B32" s="18" t="inlineStr">
        <is>
          <t>比率</t>
        </is>
      </c>
      <c r="C32" s="19" t="n"/>
      <c r="D32" s="27" t="n">
        <v>0.25</v>
      </c>
      <c r="E32" s="18" t="inlineStr">
        <is>
          <t>%</t>
        </is>
      </c>
      <c r="F32" s="21" t="n"/>
      <c r="G32" s="19" t="n"/>
      <c r="H32" s="22" t="inlineStr">
        <is>
          <t>无明显好坏</t>
        </is>
      </c>
      <c r="I32" s="22" t="inlineStr">
        <is>
          <t>对公存款 ÷ 各项存款</t>
        </is>
      </c>
      <c r="J32" s="22" t="inlineStr">
        <is>
          <t>对公存款余额占比</t>
        </is>
      </c>
      <c r="K32" s="32" t="inlineStr">
        <is>
          <t>近似，请核对</t>
        </is>
      </c>
      <c r="L32" s="24" t="n"/>
      <c r="M32" s="25" t="n"/>
      <c r="N32" s="21" t="inlineStr">
        <is>
          <t>对公存款</t>
        </is>
      </c>
      <c r="O32" s="21" t="inlineStr">
        <is>
          <t>比率</t>
        </is>
      </c>
      <c r="P32" s="21" t="inlineStr">
        <is>
          <t>一览表</t>
        </is>
      </c>
    </row>
    <row r="33" outlineLevel="3">
      <c r="A33" s="33" t="inlineStr">
        <is>
          <t>〔按存款类型〕</t>
        </is>
      </c>
      <c r="B33" s="18" t="inlineStr">
        <is>
          <t>拆解方式</t>
        </is>
      </c>
      <c r="C33" s="18" t="n"/>
      <c r="D33" s="20" t="n"/>
      <c r="E33" s="18" t="n"/>
      <c r="F33" s="21">
        <f>IF((COUNTIFS($N$3:$N$337,N33,$O$3:$O$337,O33,$C$3:$C$337,"加")+COUNTIFS($N$3:$N$337,N33,$O$3:$O$337,O33,$C$3:$C$337,"减"))=0,"其中项，不参与加总",IF(ISNUMBER(D31)=FALSE,"上级无数值，无法校验",IF(SUMPRODUCT(($N$3:$N$337=N33)*($O$3:$O$337=O33)*(($C$3:$C$337="加")+($C$3:$C$337="减"))*(ISNUMBER($D$3:$D$337)=FALSE))&gt;0,"部分下级无数值，无法校验",IF(ABS(D31-(SUMIFS($D$3:$D$337,$N$3:$N$337,N33,$O$3:$O$337,O33,$C$3:$C$337,"加")-SUMIFS($D$3:$D$337,$N$3:$N$337,N33,$O$3:$O$337,O33,$C$3:$C$337,"减")))&lt;=MAX(0.05,ABS(D31)*0.0005),"✓ 合计与上级一致","✗ 合计与上级相差 "&amp;TEXT(D31-(SUMIFS($D$3:$D$337,$N$3:$N$337,N33,$O$3:$O$337,O33,$C$3:$C$337,"加")-SUMIFS($D$3:$D$337,$N$3:$N$337,N33,$O$3:$O$337,O33,$C$3:$C$337,"减")),"#,##0.00")))))</f>
        <v/>
      </c>
      <c r="G33" s="18" t="n"/>
      <c r="H33" s="21" t="n"/>
      <c r="I33" s="21" t="n"/>
      <c r="J33" s="21" t="n"/>
      <c r="K33" s="18" t="n"/>
      <c r="L33" s="18" t="n"/>
      <c r="M33" s="21" t="n"/>
      <c r="N33" s="21" t="inlineStr">
        <is>
          <t>对公存款</t>
        </is>
      </c>
      <c r="O33" s="21" t="inlineStr">
        <is>
          <t>按存款类型</t>
        </is>
      </c>
      <c r="P33" s="21" t="n"/>
    </row>
    <row r="34" outlineLevel="3">
      <c r="A34" s="34" t="inlineStr">
        <is>
          <t>对公活期存款</t>
        </is>
      </c>
      <c r="B34" s="18" t="inlineStr">
        <is>
          <t>指标</t>
        </is>
      </c>
      <c r="C34" s="19" t="inlineStr">
        <is>
          <t>加</t>
        </is>
      </c>
      <c r="D34" s="20" t="n">
        <v>3669.21</v>
      </c>
      <c r="E34" s="18" t="inlineStr">
        <is>
          <t>亿元</t>
        </is>
      </c>
      <c r="F34" s="21" t="n"/>
      <c r="G34" s="19" t="n"/>
      <c r="H34" s="22" t="inlineStr">
        <is>
          <t>越大越好</t>
        </is>
      </c>
      <c r="I34" s="22" t="n"/>
      <c r="J34" s="22" t="inlineStr">
        <is>
          <t>对公活期存款余额</t>
        </is>
      </c>
      <c r="K34" s="28" t="inlineStr">
        <is>
          <t>完全一致</t>
        </is>
      </c>
      <c r="L34" s="24" t="n"/>
      <c r="M34" s="25" t="n"/>
      <c r="N34" s="21" t="inlineStr">
        <is>
          <t>对公存款</t>
        </is>
      </c>
      <c r="O34" s="21" t="inlineStr">
        <is>
          <t>按存款类型</t>
        </is>
      </c>
      <c r="P34" s="21" t="inlineStr">
        <is>
          <t>一览表 2026年7月末（全省，亿元/万户）</t>
        </is>
      </c>
    </row>
    <row r="35" outlineLevel="4">
      <c r="A35" s="35" t="inlineStr">
        <is>
          <t>对公活期存款占对公存款比</t>
        </is>
      </c>
      <c r="B35" s="18" t="inlineStr">
        <is>
          <t>比率</t>
        </is>
      </c>
      <c r="C35" s="19" t="n"/>
      <c r="D35" s="27" t="n">
        <v>0.33</v>
      </c>
      <c r="E35" s="18" t="inlineStr">
        <is>
          <t>%</t>
        </is>
      </c>
      <c r="F35" s="21" t="n"/>
      <c r="G35" s="19" t="n"/>
      <c r="H35" s="22" t="inlineStr">
        <is>
          <t>无明显好坏</t>
        </is>
      </c>
      <c r="I35" s="22" t="inlineStr">
        <is>
          <t>对公活期存款 ÷ 对公存款</t>
        </is>
      </c>
      <c r="J35" s="22" t="inlineStr">
        <is>
          <t>对公活期存款余额占比</t>
        </is>
      </c>
      <c r="K35" s="32" t="inlineStr">
        <is>
          <t>近似，请核对</t>
        </is>
      </c>
      <c r="L35" s="24" t="n"/>
      <c r="M35" s="25" t="n"/>
      <c r="N35" s="21" t="inlineStr">
        <is>
          <t>对公活期存款</t>
        </is>
      </c>
      <c r="O35" s="21" t="inlineStr">
        <is>
          <t>比率</t>
        </is>
      </c>
      <c r="P35" s="21" t="inlineStr">
        <is>
          <t>一览表</t>
        </is>
      </c>
    </row>
    <row r="36" outlineLevel="3">
      <c r="A36" s="34" t="inlineStr">
        <is>
          <t>对公定期存款</t>
        </is>
      </c>
      <c r="B36" s="18" t="inlineStr">
        <is>
          <t>指标</t>
        </is>
      </c>
      <c r="C36" s="19" t="inlineStr">
        <is>
          <t>加</t>
        </is>
      </c>
      <c r="D36" s="20" t="n">
        <v>7481.79</v>
      </c>
      <c r="E36" s="18" t="inlineStr">
        <is>
          <t>亿元</t>
        </is>
      </c>
      <c r="F36" s="21" t="n"/>
      <c r="G36" s="19" t="n"/>
      <c r="H36" s="22" t="inlineStr">
        <is>
          <t>越大越好</t>
        </is>
      </c>
      <c r="I36" s="22" t="n"/>
      <c r="J36" s="22" t="inlineStr">
        <is>
          <t>对公定期存款余额</t>
        </is>
      </c>
      <c r="K36" s="28" t="inlineStr">
        <is>
          <t>完全一致</t>
        </is>
      </c>
      <c r="L36" s="24" t="n"/>
      <c r="M36" s="25" t="n"/>
      <c r="N36" s="21" t="inlineStr">
        <is>
          <t>对公存款</t>
        </is>
      </c>
      <c r="O36" s="21" t="inlineStr">
        <is>
          <t>按存款类型</t>
        </is>
      </c>
      <c r="P36" s="21" t="inlineStr">
        <is>
          <t>一览表 2026年7月末（全省，亿元/万户）</t>
        </is>
      </c>
    </row>
    <row r="37" outlineLevel="4">
      <c r="A37" s="35" t="inlineStr">
        <is>
          <t>对公定期存款占对公存款比</t>
        </is>
      </c>
      <c r="B37" s="18" t="inlineStr">
        <is>
          <t>比率</t>
        </is>
      </c>
      <c r="C37" s="19" t="n"/>
      <c r="D37" s="27" t="n">
        <v>0.67</v>
      </c>
      <c r="E37" s="18" t="inlineStr">
        <is>
          <t>%</t>
        </is>
      </c>
      <c r="F37" s="21" t="n"/>
      <c r="G37" s="19" t="n"/>
      <c r="H37" s="22" t="inlineStr">
        <is>
          <t>无明显好坏</t>
        </is>
      </c>
      <c r="I37" s="22" t="inlineStr">
        <is>
          <t>对公定期存款 ÷ 对公存款</t>
        </is>
      </c>
      <c r="J37" s="22" t="n"/>
      <c r="K37" s="23" t="inlineStr">
        <is>
          <t>目录中未找到</t>
        </is>
      </c>
      <c r="L37" s="24" t="n"/>
      <c r="M37" s="25" t="n"/>
      <c r="N37" s="21" t="inlineStr">
        <is>
          <t>对公定期存款</t>
        </is>
      </c>
      <c r="O37" s="21" t="inlineStr">
        <is>
          <t>比率</t>
        </is>
      </c>
      <c r="P37" s="21" t="inlineStr">
        <is>
          <t>一览表</t>
        </is>
      </c>
    </row>
    <row r="38" outlineLevel="3">
      <c r="A38" s="33" t="inlineStr">
        <is>
          <t>〔其中项〕</t>
        </is>
      </c>
      <c r="B38" s="18" t="inlineStr">
        <is>
          <t>拆解方式</t>
        </is>
      </c>
      <c r="C38" s="18" t="n"/>
      <c r="D38" s="20" t="n"/>
      <c r="E38" s="18" t="n"/>
      <c r="F38" s="21">
        <f>IF((COUNTIFS($N$3:$N$337,N38,$O$3:$O$337,O38,$C$3:$C$337,"加")+COUNTIFS($N$3:$N$337,N38,$O$3:$O$337,O38,$C$3:$C$337,"减"))=0,"其中项，不参与加总",IF(ISNUMBER(D31)=FALSE,"上级无数值，无法校验",IF(SUMPRODUCT(($N$3:$N$337=N38)*($O$3:$O$337=O38)*(($C$3:$C$337="加")+($C$3:$C$337="减"))*(ISNUMBER($D$3:$D$337)=FALSE))&gt;0,"部分下级无数值，无法校验",IF(ABS(D31-(SUMIFS($D$3:$D$337,$N$3:$N$337,N38,$O$3:$O$337,O38,$C$3:$C$337,"加")-SUMIFS($D$3:$D$337,$N$3:$N$337,N38,$O$3:$O$337,O38,$C$3:$C$337,"减")))&lt;=MAX(0.05,ABS(D31)*0.0005),"✓ 合计与上级一致","✗ 合计与上级相差 "&amp;TEXT(D31-(SUMIFS($D$3:$D$337,$N$3:$N$337,N38,$O$3:$O$337,O38,$C$3:$C$337,"加")-SUMIFS($D$3:$D$337,$N$3:$N$337,N38,$O$3:$O$337,O38,$C$3:$C$337,"减")),"#,##0.00")))))</f>
        <v/>
      </c>
      <c r="G38" s="18" t="n"/>
      <c r="H38" s="21" t="n"/>
      <c r="I38" s="21" t="n"/>
      <c r="J38" s="21" t="n"/>
      <c r="K38" s="18" t="n"/>
      <c r="L38" s="18" t="n"/>
      <c r="M38" s="21" t="inlineStr">
        <is>
          <t>报表以“其中”列示，与活期/定期有交叉，不参与加总</t>
        </is>
      </c>
      <c r="N38" s="21" t="inlineStr">
        <is>
          <t>对公存款</t>
        </is>
      </c>
      <c r="O38" s="21" t="inlineStr">
        <is>
          <t>其中项</t>
        </is>
      </c>
      <c r="P38" s="21" t="n"/>
    </row>
    <row r="39" outlineLevel="3">
      <c r="A39" s="34" t="inlineStr">
        <is>
          <t>保证金存款</t>
        </is>
      </c>
      <c r="B39" s="18" t="inlineStr">
        <is>
          <t>指标</t>
        </is>
      </c>
      <c r="C39" s="19" t="inlineStr">
        <is>
          <t>其中</t>
        </is>
      </c>
      <c r="D39" s="20" t="n">
        <v>1774.99</v>
      </c>
      <c r="E39" s="18" t="inlineStr">
        <is>
          <t>亿元</t>
        </is>
      </c>
      <c r="F39" s="21" t="n"/>
      <c r="G39" s="19" t="n"/>
      <c r="H39" s="22" t="inlineStr">
        <is>
          <t>无明显好坏</t>
        </is>
      </c>
      <c r="I39" s="22" t="n"/>
      <c r="J39" s="22" t="inlineStr">
        <is>
          <t>对公保证金存款余额</t>
        </is>
      </c>
      <c r="K39" s="32" t="inlineStr">
        <is>
          <t>近似，请核对</t>
        </is>
      </c>
      <c r="L39" s="24" t="n"/>
      <c r="M39" s="25" t="n"/>
      <c r="N39" s="21" t="inlineStr">
        <is>
          <t>对公存款</t>
        </is>
      </c>
      <c r="O39" s="21" t="inlineStr">
        <is>
          <t>其中项</t>
        </is>
      </c>
      <c r="P39" s="21" t="inlineStr">
        <is>
          <t>一览表 2026年7月末（全省，亿元/万户）</t>
        </is>
      </c>
    </row>
    <row r="40" outlineLevel="4">
      <c r="A40" s="35" t="inlineStr">
        <is>
          <t>保证金存款占对公存款比</t>
        </is>
      </c>
      <c r="B40" s="18" t="inlineStr">
        <is>
          <t>比率</t>
        </is>
      </c>
      <c r="C40" s="19" t="n"/>
      <c r="D40" s="27" t="n">
        <v>0.16</v>
      </c>
      <c r="E40" s="18" t="inlineStr">
        <is>
          <t>%</t>
        </is>
      </c>
      <c r="F40" s="21" t="n"/>
      <c r="G40" s="19" t="n"/>
      <c r="H40" s="22" t="inlineStr">
        <is>
          <t>无明显好坏</t>
        </is>
      </c>
      <c r="I40" s="22" t="inlineStr">
        <is>
          <t>保证金存款 ÷ 对公存款</t>
        </is>
      </c>
      <c r="J40" s="22" t="n"/>
      <c r="K40" s="23" t="inlineStr">
        <is>
          <t>目录中未找到</t>
        </is>
      </c>
      <c r="L40" s="24" t="n"/>
      <c r="M40" s="25" t="n"/>
      <c r="N40" s="21" t="inlineStr">
        <is>
          <t>保证金存款</t>
        </is>
      </c>
      <c r="O40" s="21" t="inlineStr">
        <is>
          <t>比率</t>
        </is>
      </c>
      <c r="P40" s="21" t="inlineStr">
        <is>
          <t>一览表</t>
        </is>
      </c>
    </row>
    <row r="41" outlineLevel="3">
      <c r="A41" s="34" t="inlineStr">
        <is>
          <t>非银存款</t>
        </is>
      </c>
      <c r="B41" s="18" t="inlineStr">
        <is>
          <t>指标</t>
        </is>
      </c>
      <c r="C41" s="19" t="inlineStr">
        <is>
          <t>其中</t>
        </is>
      </c>
      <c r="D41" s="20" t="n">
        <v>488.34</v>
      </c>
      <c r="E41" s="18" t="inlineStr">
        <is>
          <t>亿元</t>
        </is>
      </c>
      <c r="F41" s="21" t="n"/>
      <c r="G41" s="19" t="n"/>
      <c r="H41" s="22" t="inlineStr">
        <is>
          <t>无明显好坏</t>
        </is>
      </c>
      <c r="I41" s="22" t="n"/>
      <c r="J41" s="22" t="n"/>
      <c r="K41" s="23" t="inlineStr">
        <is>
          <t>目录中未找到</t>
        </is>
      </c>
      <c r="L41" s="24" t="n"/>
      <c r="M41" s="25" t="n"/>
      <c r="N41" s="21" t="inlineStr">
        <is>
          <t>对公存款</t>
        </is>
      </c>
      <c r="O41" s="21" t="inlineStr">
        <is>
          <t>其中项</t>
        </is>
      </c>
      <c r="P41" s="21" t="inlineStr">
        <is>
          <t>一览表 2026年7月末（全省，亿元/万户）</t>
        </is>
      </c>
    </row>
    <row r="42" outlineLevel="4">
      <c r="A42" s="35" t="inlineStr">
        <is>
          <t>非银存款占对公存款比</t>
        </is>
      </c>
      <c r="B42" s="18" t="inlineStr">
        <is>
          <t>比率</t>
        </is>
      </c>
      <c r="C42" s="19" t="n"/>
      <c r="D42" s="27" t="n">
        <v>0.04</v>
      </c>
      <c r="E42" s="18" t="inlineStr">
        <is>
          <t>%</t>
        </is>
      </c>
      <c r="F42" s="21" t="n"/>
      <c r="G42" s="19" t="n"/>
      <c r="H42" s="22" t="inlineStr">
        <is>
          <t>无明显好坏</t>
        </is>
      </c>
      <c r="I42" s="22" t="inlineStr">
        <is>
          <t>非银存款 ÷ 对公存款</t>
        </is>
      </c>
      <c r="J42" s="22" t="n"/>
      <c r="K42" s="23" t="inlineStr">
        <is>
          <t>目录中未找到</t>
        </is>
      </c>
      <c r="L42" s="24" t="n"/>
      <c r="M42" s="25" t="n"/>
      <c r="N42" s="21" t="inlineStr">
        <is>
          <t>非银存款</t>
        </is>
      </c>
      <c r="O42" s="21" t="inlineStr">
        <is>
          <t>比率</t>
        </is>
      </c>
      <c r="P42" s="21" t="inlineStr">
        <is>
          <t>一览表</t>
        </is>
      </c>
    </row>
    <row r="43" outlineLevel="1">
      <c r="A43" s="17" t="inlineStr">
        <is>
          <t>存款市场份额</t>
        </is>
      </c>
      <c r="B43" s="18" t="inlineStr">
        <is>
          <t>指标</t>
        </is>
      </c>
      <c r="C43" s="19" t="n"/>
      <c r="D43" s="27" t="inlineStr">
        <is>
          <t>待公布</t>
        </is>
      </c>
      <c r="E43" s="18" t="inlineStr">
        <is>
          <t>%</t>
        </is>
      </c>
      <c r="F43" s="21" t="n"/>
      <c r="G43" s="19" t="n"/>
      <c r="H43" s="22" t="inlineStr">
        <is>
          <t>越大越好</t>
        </is>
      </c>
      <c r="I43" s="22" t="n"/>
      <c r="J43" s="22" t="inlineStr">
        <is>
          <t>存款市场份额；存款市场份额比率</t>
        </is>
      </c>
      <c r="K43" s="32" t="inlineStr">
        <is>
          <t>多个候选，请选择</t>
        </is>
      </c>
      <c r="L43" s="24" t="n"/>
      <c r="M43" s="25" t="inlineStr">
        <is>
          <t>待公布</t>
        </is>
      </c>
      <c r="N43" s="21" t="n"/>
      <c r="O43" s="21" t="n"/>
      <c r="P43" s="21" t="inlineStr">
        <is>
          <t>一览表 2026年7月末（全省，亿元/万户）</t>
        </is>
      </c>
    </row>
    <row r="44" outlineLevel="1">
      <c r="A44" s="17" t="inlineStr">
        <is>
          <t>全部3年期以上存款占比</t>
        </is>
      </c>
      <c r="B44" s="18" t="inlineStr">
        <is>
          <t>指标</t>
        </is>
      </c>
      <c r="C44" s="19" t="n"/>
      <c r="D44" s="27" t="inlineStr">
        <is>
          <t>季度指标</t>
        </is>
      </c>
      <c r="E44" s="18" t="inlineStr">
        <is>
          <t>%</t>
        </is>
      </c>
      <c r="F44" s="21" t="n"/>
      <c r="G44" s="19" t="n"/>
      <c r="H44" s="22" t="inlineStr">
        <is>
          <t>无明显好坏</t>
        </is>
      </c>
      <c r="I44" s="22" t="n"/>
      <c r="J44" s="22" t="inlineStr">
        <is>
          <t>三年期限以上定期存款余额占比</t>
        </is>
      </c>
      <c r="K44" s="32" t="inlineStr">
        <is>
          <t>近似，请核对</t>
        </is>
      </c>
      <c r="L44" s="24" t="n"/>
      <c r="M44" s="25" t="inlineStr">
        <is>
          <t>季度指标</t>
        </is>
      </c>
      <c r="N44" s="21" t="n"/>
      <c r="O44" s="21" t="n"/>
      <c r="P44" s="21" t="inlineStr">
        <is>
          <t>一览表 2026年7月末（全省，亿元/万户）</t>
        </is>
      </c>
    </row>
    <row r="45" outlineLevel="1">
      <c r="A45" s="17" t="inlineStr">
        <is>
          <t>活期存款占比（不含协定存款）</t>
        </is>
      </c>
      <c r="B45" s="18" t="inlineStr">
        <is>
          <t>指标</t>
        </is>
      </c>
      <c r="C45" s="19" t="n"/>
      <c r="D45" s="27" t="n">
        <v>0.19</v>
      </c>
      <c r="E45" s="18" t="inlineStr">
        <is>
          <t>%</t>
        </is>
      </c>
      <c r="F45" s="21" t="n"/>
      <c r="G45" s="19" t="n"/>
      <c r="H45" s="22" t="inlineStr">
        <is>
          <t>越大越好</t>
        </is>
      </c>
      <c r="I45" s="22" t="inlineStr">
        <is>
          <t>计算方式请业务确认</t>
        </is>
      </c>
      <c r="J45" s="22" t="inlineStr">
        <is>
          <t>活期存款余额占比</t>
        </is>
      </c>
      <c r="K45" s="32" t="inlineStr">
        <is>
          <t>近似，请核对</t>
        </is>
      </c>
      <c r="L45" s="24" t="n"/>
      <c r="M45" s="25" t="n"/>
      <c r="N45" s="21" t="n"/>
      <c r="O45" s="21" t="n"/>
      <c r="P45" s="21" t="inlineStr">
        <is>
          <t>一览表 2026年7月末（全省，亿元/万户）</t>
        </is>
      </c>
    </row>
    <row r="46" outlineLevel="1">
      <c r="A46" s="17" t="inlineStr">
        <is>
          <t>活期存款占比（含协定存款）</t>
        </is>
      </c>
      <c r="B46" s="18" t="inlineStr">
        <is>
          <t>指标</t>
        </is>
      </c>
      <c r="C46" s="19" t="n"/>
      <c r="D46" s="27" t="n">
        <v>0.22</v>
      </c>
      <c r="E46" s="18" t="inlineStr">
        <is>
          <t>%</t>
        </is>
      </c>
      <c r="F46" s="21" t="n"/>
      <c r="G46" s="19" t="n"/>
      <c r="H46" s="22" t="inlineStr">
        <is>
          <t>越大越好</t>
        </is>
      </c>
      <c r="I46" s="22" t="inlineStr">
        <is>
          <t>计算方式请业务确认</t>
        </is>
      </c>
      <c r="J46" s="22" t="inlineStr">
        <is>
          <t>活期存款余额占比</t>
        </is>
      </c>
      <c r="K46" s="32" t="inlineStr">
        <is>
          <t>近似，请核对</t>
        </is>
      </c>
      <c r="L46" s="24" t="n"/>
      <c r="M46" s="25" t="n"/>
      <c r="N46" s="21" t="n"/>
      <c r="O46" s="21" t="n"/>
      <c r="P46" s="21" t="inlineStr">
        <is>
          <t>一览表 2026年7月末（全省，亿元/万户）</t>
        </is>
      </c>
    </row>
    <row r="47" ht="22" customHeight="1">
      <c r="A47" s="13" t="inlineStr">
        <is>
          <t>三、贷款</t>
        </is>
      </c>
      <c r="B47" s="14" t="inlineStr">
        <is>
          <t>板块</t>
        </is>
      </c>
      <c r="C47" s="14" t="n"/>
      <c r="D47" s="15" t="n"/>
      <c r="E47" s="14" t="n"/>
      <c r="F47" s="16" t="n"/>
      <c r="G47" s="14" t="n"/>
      <c r="H47" s="16" t="n"/>
      <c r="I47" s="16" t="n"/>
      <c r="J47" s="16" t="n"/>
      <c r="K47" s="14" t="n"/>
      <c r="L47" s="14" t="n"/>
      <c r="M47" s="16" t="n"/>
      <c r="N47" s="16" t="n"/>
      <c r="O47" s="16" t="n"/>
      <c r="P47" s="16" t="n"/>
    </row>
    <row r="48" outlineLevel="1">
      <c r="A48" s="17" t="inlineStr">
        <is>
          <t>各项贷款</t>
        </is>
      </c>
      <c r="B48" s="18" t="inlineStr">
        <is>
          <t>指标</t>
        </is>
      </c>
      <c r="C48" s="19" t="n"/>
      <c r="D48" s="20" t="n">
        <v>35030.41</v>
      </c>
      <c r="E48" s="18" t="inlineStr">
        <is>
          <t>亿元</t>
        </is>
      </c>
      <c r="F48" s="21" t="n"/>
      <c r="G48" s="19" t="inlineStr">
        <is>
          <t>是</t>
        </is>
      </c>
      <c r="H48" s="22" t="inlineStr">
        <is>
          <t>越大越好</t>
        </is>
      </c>
      <c r="I48" s="22" t="n"/>
      <c r="J48" s="22" t="inlineStr">
        <is>
          <t>各项贷款余额_人行口径；各项贷款余额_剔除贴现及买断式转贴现；各项贷款余额_银监</t>
        </is>
      </c>
      <c r="K48" s="32" t="inlineStr">
        <is>
          <t>多个候选，请选择</t>
        </is>
      </c>
      <c r="L48" s="24" t="n"/>
      <c r="M48" s="25" t="n"/>
      <c r="N48" s="21" t="n"/>
      <c r="O48" s="21" t="n"/>
      <c r="P48" s="21" t="inlineStr">
        <is>
          <t>一览表 2026年7月末（全省，亿元/万户）</t>
        </is>
      </c>
    </row>
    <row r="49" outlineLevel="2">
      <c r="A49" s="29" t="inlineStr">
        <is>
          <t>〔按业务类型〕</t>
        </is>
      </c>
      <c r="B49" s="18" t="inlineStr">
        <is>
          <t>拆解方式</t>
        </is>
      </c>
      <c r="C49" s="18" t="n"/>
      <c r="D49" s="20" t="n"/>
      <c r="E49" s="18" t="n"/>
      <c r="F49" s="21">
        <f>IF((COUNTIFS($N$3:$N$337,N49,$O$3:$O$337,O49,$C$3:$C$337,"加")+COUNTIFS($N$3:$N$337,N49,$O$3:$O$337,O49,$C$3:$C$337,"减"))=0,"其中项，不参与加总",IF(ISNUMBER(D48)=FALSE,"上级无数值，无法校验",IF(SUMPRODUCT(($N$3:$N$337=N49)*($O$3:$O$337=O49)*(($C$3:$C$337="加")+($C$3:$C$337="减"))*(ISNUMBER($D$3:$D$337)=FALSE))&gt;0,"部分下级无数值，无法校验",IF(ABS(D48-(SUMIFS($D$3:$D$337,$N$3:$N$337,N49,$O$3:$O$337,O49,$C$3:$C$337,"加")-SUMIFS($D$3:$D$337,$N$3:$N$337,N49,$O$3:$O$337,O49,$C$3:$C$337,"减")))&lt;=MAX(0.05,ABS(D48)*0.0005),"✓ 合计与上级一致","✗ 合计与上级相差 "&amp;TEXT(D48-(SUMIFS($D$3:$D$337,$N$3:$N$337,N49,$O$3:$O$337,O49,$C$3:$C$337,"加")-SUMIFS($D$3:$D$337,$N$3:$N$337,N49,$O$3:$O$337,O49,$C$3:$C$337,"减")),"#,##0.00")))))</f>
        <v/>
      </c>
      <c r="G49" s="18" t="n"/>
      <c r="H49" s="21" t="n"/>
      <c r="I49" s="21" t="n"/>
      <c r="J49" s="21" t="n"/>
      <c r="K49" s="18" t="n"/>
      <c r="L49" s="18" t="n"/>
      <c r="M49" s="21" t="n"/>
      <c r="N49" s="21" t="inlineStr">
        <is>
          <t>各项贷款</t>
        </is>
      </c>
      <c r="O49" s="21" t="inlineStr">
        <is>
          <t>按业务类型</t>
        </is>
      </c>
      <c r="P49" s="21" t="n"/>
    </row>
    <row r="50" outlineLevel="2">
      <c r="A50" s="30" t="inlineStr">
        <is>
          <t>个人贷款</t>
        </is>
      </c>
      <c r="B50" s="18" t="inlineStr">
        <is>
          <t>指标</t>
        </is>
      </c>
      <c r="C50" s="19" t="inlineStr">
        <is>
          <t>加</t>
        </is>
      </c>
      <c r="D50" s="20" t="n">
        <v>10571.39</v>
      </c>
      <c r="E50" s="18" t="inlineStr">
        <is>
          <t>亿元</t>
        </is>
      </c>
      <c r="F50" s="21" t="n"/>
      <c r="G50" s="19" t="inlineStr">
        <is>
          <t>是</t>
        </is>
      </c>
      <c r="H50" s="22" t="inlineStr">
        <is>
          <t>越大越好</t>
        </is>
      </c>
      <c r="I50" s="22" t="n"/>
      <c r="J50" s="22" t="inlineStr">
        <is>
          <t>个人贷款余额</t>
        </is>
      </c>
      <c r="K50" s="28" t="inlineStr">
        <is>
          <t>完全一致</t>
        </is>
      </c>
      <c r="L50" s="24" t="n"/>
      <c r="M50" s="25" t="n"/>
      <c r="N50" s="21" t="inlineStr">
        <is>
          <t>各项贷款</t>
        </is>
      </c>
      <c r="O50" s="21" t="inlineStr">
        <is>
          <t>按业务类型</t>
        </is>
      </c>
      <c r="P50" s="21" t="inlineStr">
        <is>
          <t>一览表 2026年7月末（全省，亿元/万户）</t>
        </is>
      </c>
    </row>
    <row r="51" outlineLevel="3">
      <c r="A51" s="31" t="inlineStr">
        <is>
          <t>个人贷款占比</t>
        </is>
      </c>
      <c r="B51" s="18" t="inlineStr">
        <is>
          <t>比率</t>
        </is>
      </c>
      <c r="C51" s="19" t="n"/>
      <c r="D51" s="27" t="n">
        <v>0.3</v>
      </c>
      <c r="E51" s="18" t="inlineStr">
        <is>
          <t>%</t>
        </is>
      </c>
      <c r="F51" s="21" t="n"/>
      <c r="G51" s="19" t="n"/>
      <c r="H51" s="22" t="inlineStr">
        <is>
          <t>无明显好坏</t>
        </is>
      </c>
      <c r="I51" s="22" t="inlineStr">
        <is>
          <t>个人贷款 ÷ 各项贷款</t>
        </is>
      </c>
      <c r="J51" s="22" t="inlineStr">
        <is>
          <t>个人贷款余额占比</t>
        </is>
      </c>
      <c r="K51" s="32" t="inlineStr">
        <is>
          <t>近似，请核对</t>
        </is>
      </c>
      <c r="L51" s="24" t="n"/>
      <c r="M51" s="25" t="n"/>
      <c r="N51" s="21" t="inlineStr">
        <is>
          <t>个人贷款</t>
        </is>
      </c>
      <c r="O51" s="21" t="inlineStr">
        <is>
          <t>比率</t>
        </is>
      </c>
      <c r="P51" s="21" t="inlineStr">
        <is>
          <t>一览表</t>
        </is>
      </c>
    </row>
    <row r="52" outlineLevel="3">
      <c r="A52" s="33" t="inlineStr">
        <is>
          <t>〔按贷款用途〕</t>
        </is>
      </c>
      <c r="B52" s="18" t="inlineStr">
        <is>
          <t>拆解方式</t>
        </is>
      </c>
      <c r="C52" s="18" t="n"/>
      <c r="D52" s="20" t="n"/>
      <c r="E52" s="18" t="n"/>
      <c r="F52" s="21">
        <f>IF((COUNTIFS($N$3:$N$337,N52,$O$3:$O$337,O52,$C$3:$C$337,"加")+COUNTIFS($N$3:$N$337,N52,$O$3:$O$337,O52,$C$3:$C$337,"减"))=0,"其中项，不参与加总",IF(ISNUMBER(D50)=FALSE,"上级无数值，无法校验",IF(SUMPRODUCT(($N$3:$N$337=N52)*($O$3:$O$337=O52)*(($C$3:$C$337="加")+($C$3:$C$337="减"))*(ISNUMBER($D$3:$D$337)=FALSE))&gt;0,"部分下级无数值，无法校验",IF(ABS(D50-(SUMIFS($D$3:$D$337,$N$3:$N$337,N52,$O$3:$O$337,O52,$C$3:$C$337,"加")-SUMIFS($D$3:$D$337,$N$3:$N$337,N52,$O$3:$O$337,O52,$C$3:$C$337,"减")))&lt;=MAX(0.05,ABS(D50)*0.0005),"✓ 合计与上级一致","✗ 合计与上级相差 "&amp;TEXT(D50-(SUMIFS($D$3:$D$337,$N$3:$N$337,N52,$O$3:$O$337,O52,$C$3:$C$337,"加")-SUMIFS($D$3:$D$337,$N$3:$N$337,N52,$O$3:$O$337,O52,$C$3:$C$337,"减")),"#,##0.00")))))</f>
        <v/>
      </c>
      <c r="G52" s="18" t="n"/>
      <c r="H52" s="21" t="n"/>
      <c r="I52" s="21" t="n"/>
      <c r="J52" s="21" t="n"/>
      <c r="K52" s="18" t="n"/>
      <c r="L52" s="18" t="n"/>
      <c r="M52" s="21" t="n"/>
      <c r="N52" s="21" t="inlineStr">
        <is>
          <t>个人贷款</t>
        </is>
      </c>
      <c r="O52" s="21" t="inlineStr">
        <is>
          <t>按贷款用途</t>
        </is>
      </c>
      <c r="P52" s="21" t="n"/>
    </row>
    <row r="53" outlineLevel="3">
      <c r="A53" s="34" t="inlineStr">
        <is>
          <t>个人经营性贷款</t>
        </is>
      </c>
      <c r="B53" s="18" t="inlineStr">
        <is>
          <t>指标</t>
        </is>
      </c>
      <c r="C53" s="19" t="inlineStr">
        <is>
          <t>加</t>
        </is>
      </c>
      <c r="D53" s="20" t="n">
        <v>6280.91</v>
      </c>
      <c r="E53" s="18" t="inlineStr">
        <is>
          <t>亿元</t>
        </is>
      </c>
      <c r="F53" s="21" t="n"/>
      <c r="G53" s="19" t="n"/>
      <c r="H53" s="22" t="inlineStr">
        <is>
          <t>越大越好</t>
        </is>
      </c>
      <c r="I53" s="22" t="n"/>
      <c r="J53" s="22" t="inlineStr">
        <is>
          <t>个人经营性贷款余额</t>
        </is>
      </c>
      <c r="K53" s="28" t="inlineStr">
        <is>
          <t>完全一致</t>
        </is>
      </c>
      <c r="L53" s="24" t="n"/>
      <c r="M53" s="25" t="n"/>
      <c r="N53" s="21" t="inlineStr">
        <is>
          <t>个人贷款</t>
        </is>
      </c>
      <c r="O53" s="21" t="inlineStr">
        <is>
          <t>按贷款用途</t>
        </is>
      </c>
      <c r="P53" s="21" t="inlineStr">
        <is>
          <t>一览表 2026年7月末（全省，亿元/万户）</t>
        </is>
      </c>
    </row>
    <row r="54" outlineLevel="4">
      <c r="A54" s="35" t="inlineStr">
        <is>
          <t>个人经营性贷款占个人贷款比</t>
        </is>
      </c>
      <c r="B54" s="18" t="inlineStr">
        <is>
          <t>比率</t>
        </is>
      </c>
      <c r="C54" s="19" t="n"/>
      <c r="D54" s="27" t="n">
        <v>0.59</v>
      </c>
      <c r="E54" s="18" t="inlineStr">
        <is>
          <t>%</t>
        </is>
      </c>
      <c r="F54" s="21" t="n"/>
      <c r="G54" s="19" t="n"/>
      <c r="H54" s="22" t="inlineStr">
        <is>
          <t>无明显好坏</t>
        </is>
      </c>
      <c r="I54" s="22" t="inlineStr">
        <is>
          <t>个人经营性贷款 ÷ 个人贷款</t>
        </is>
      </c>
      <c r="J54" s="22" t="n"/>
      <c r="K54" s="23" t="inlineStr">
        <is>
          <t>目录中未找到</t>
        </is>
      </c>
      <c r="L54" s="24" t="n"/>
      <c r="M54" s="25" t="n"/>
      <c r="N54" s="21" t="inlineStr">
        <is>
          <t>个人经营性贷款</t>
        </is>
      </c>
      <c r="O54" s="21" t="inlineStr">
        <is>
          <t>比率</t>
        </is>
      </c>
      <c r="P54" s="21" t="inlineStr">
        <is>
          <t>一览表</t>
        </is>
      </c>
    </row>
    <row r="55" outlineLevel="3">
      <c r="A55" s="34" t="inlineStr">
        <is>
          <t>个人一般性消费贷款</t>
        </is>
      </c>
      <c r="B55" s="18" t="inlineStr">
        <is>
          <t>指标</t>
        </is>
      </c>
      <c r="C55" s="19" t="inlineStr">
        <is>
          <t>加</t>
        </is>
      </c>
      <c r="D55" s="20" t="n">
        <v>1850.76</v>
      </c>
      <c r="E55" s="18" t="inlineStr">
        <is>
          <t>亿元</t>
        </is>
      </c>
      <c r="F55" s="21" t="n"/>
      <c r="G55" s="19" t="n"/>
      <c r="H55" s="22" t="inlineStr">
        <is>
          <t>越大越好</t>
        </is>
      </c>
      <c r="I55" s="22" t="n"/>
      <c r="J55" s="22" t="inlineStr">
        <is>
          <t>个人消费贷款余额</t>
        </is>
      </c>
      <c r="K55" s="32" t="inlineStr">
        <is>
          <t>近似，请核对</t>
        </is>
      </c>
      <c r="L55" s="24" t="n"/>
      <c r="M55" s="25" t="n"/>
      <c r="N55" s="21" t="inlineStr">
        <is>
          <t>个人贷款</t>
        </is>
      </c>
      <c r="O55" s="21" t="inlineStr">
        <is>
          <t>按贷款用途</t>
        </is>
      </c>
      <c r="P55" s="21" t="inlineStr">
        <is>
          <t>一览表 2026年7月末（全省，亿元/万户）</t>
        </is>
      </c>
    </row>
    <row r="56" outlineLevel="4">
      <c r="A56" s="35" t="inlineStr">
        <is>
          <t>个人一般性消费贷款占个人贷款比</t>
        </is>
      </c>
      <c r="B56" s="18" t="inlineStr">
        <is>
          <t>比率</t>
        </is>
      </c>
      <c r="C56" s="19" t="n"/>
      <c r="D56" s="27" t="n">
        <v>0.18</v>
      </c>
      <c r="E56" s="18" t="inlineStr">
        <is>
          <t>%</t>
        </is>
      </c>
      <c r="F56" s="21" t="n"/>
      <c r="G56" s="19" t="n"/>
      <c r="H56" s="22" t="inlineStr">
        <is>
          <t>无明显好坏</t>
        </is>
      </c>
      <c r="I56" s="22" t="inlineStr">
        <is>
          <t>个人一般性消费贷款 ÷ 个人贷款</t>
        </is>
      </c>
      <c r="J56" s="22" t="n"/>
      <c r="K56" s="23" t="inlineStr">
        <is>
          <t>目录中未找到</t>
        </is>
      </c>
      <c r="L56" s="24" t="n"/>
      <c r="M56" s="25" t="n"/>
      <c r="N56" s="21" t="inlineStr">
        <is>
          <t>个人一般性消费贷款</t>
        </is>
      </c>
      <c r="O56" s="21" t="inlineStr">
        <is>
          <t>比率</t>
        </is>
      </c>
      <c r="P56" s="21" t="inlineStr">
        <is>
          <t>一览表</t>
        </is>
      </c>
    </row>
    <row r="57" outlineLevel="3">
      <c r="A57" s="34" t="inlineStr">
        <is>
          <t>个人住房按揭贷款</t>
        </is>
      </c>
      <c r="B57" s="18" t="inlineStr">
        <is>
          <t>指标</t>
        </is>
      </c>
      <c r="C57" s="19" t="inlineStr">
        <is>
          <t>加</t>
        </is>
      </c>
      <c r="D57" s="20" t="n">
        <v>2304.72</v>
      </c>
      <c r="E57" s="18" t="inlineStr">
        <is>
          <t>亿元</t>
        </is>
      </c>
      <c r="F57" s="21" t="n"/>
      <c r="G57" s="19" t="n"/>
      <c r="H57" s="22" t="inlineStr">
        <is>
          <t>越大越好</t>
        </is>
      </c>
      <c r="I57" s="22" t="n"/>
      <c r="J57" s="22" t="n"/>
      <c r="K57" s="23" t="inlineStr">
        <is>
          <t>目录中未找到</t>
        </is>
      </c>
      <c r="L57" s="24" t="n"/>
      <c r="M57" s="25" t="n"/>
      <c r="N57" s="21" t="inlineStr">
        <is>
          <t>个人贷款</t>
        </is>
      </c>
      <c r="O57" s="21" t="inlineStr">
        <is>
          <t>按贷款用途</t>
        </is>
      </c>
      <c r="P57" s="21" t="inlineStr">
        <is>
          <t>一览表 2026年7月末（全省，亿元/万户）</t>
        </is>
      </c>
    </row>
    <row r="58" outlineLevel="4">
      <c r="A58" s="35" t="inlineStr">
        <is>
          <t>个人住房按揭贷款占个人贷款比</t>
        </is>
      </c>
      <c r="B58" s="18" t="inlineStr">
        <is>
          <t>比率</t>
        </is>
      </c>
      <c r="C58" s="19" t="n"/>
      <c r="D58" s="27" t="n">
        <v>0.22</v>
      </c>
      <c r="E58" s="18" t="inlineStr">
        <is>
          <t>%</t>
        </is>
      </c>
      <c r="F58" s="21" t="n"/>
      <c r="G58" s="19" t="n"/>
      <c r="H58" s="22" t="inlineStr">
        <is>
          <t>无明显好坏</t>
        </is>
      </c>
      <c r="I58" s="22" t="inlineStr">
        <is>
          <t>个人住房按揭贷款 ÷ 个人贷款</t>
        </is>
      </c>
      <c r="J58" s="22" t="n"/>
      <c r="K58" s="23" t="inlineStr">
        <is>
          <t>目录中未找到</t>
        </is>
      </c>
      <c r="L58" s="24" t="n"/>
      <c r="M58" s="25" t="n"/>
      <c r="N58" s="21" t="inlineStr">
        <is>
          <t>个人住房按揭贷款</t>
        </is>
      </c>
      <c r="O58" s="21" t="inlineStr">
        <is>
          <t>比率</t>
        </is>
      </c>
      <c r="P58" s="21" t="inlineStr">
        <is>
          <t>一览表</t>
        </is>
      </c>
    </row>
    <row r="59" outlineLevel="3">
      <c r="A59" s="34" t="inlineStr">
        <is>
          <t>个人信用卡透支及分期</t>
        </is>
      </c>
      <c r="B59" s="18" t="inlineStr">
        <is>
          <t>指标</t>
        </is>
      </c>
      <c r="C59" s="19" t="inlineStr">
        <is>
          <t>加</t>
        </is>
      </c>
      <c r="D59" s="20" t="n">
        <v>135.01</v>
      </c>
      <c r="E59" s="18" t="inlineStr">
        <is>
          <t>亿元</t>
        </is>
      </c>
      <c r="F59" s="21" t="n"/>
      <c r="G59" s="19" t="n"/>
      <c r="H59" s="22" t="inlineStr">
        <is>
          <t>越大越好</t>
        </is>
      </c>
      <c r="I59" s="22" t="n"/>
      <c r="J59" s="22" t="n"/>
      <c r="K59" s="23" t="inlineStr">
        <is>
          <t>目录中未找到</t>
        </is>
      </c>
      <c r="L59" s="24" t="n"/>
      <c r="M59" s="25" t="n"/>
      <c r="N59" s="21" t="inlineStr">
        <is>
          <t>个人贷款</t>
        </is>
      </c>
      <c r="O59" s="21" t="inlineStr">
        <is>
          <t>按贷款用途</t>
        </is>
      </c>
      <c r="P59" s="21" t="inlineStr">
        <is>
          <t>一览表 2026年7月末（全省，亿元/万户）</t>
        </is>
      </c>
    </row>
    <row r="60" outlineLevel="4">
      <c r="A60" s="35" t="inlineStr">
        <is>
          <t>个人信用卡透支占个人贷款比</t>
        </is>
      </c>
      <c r="B60" s="18" t="inlineStr">
        <is>
          <t>比率</t>
        </is>
      </c>
      <c r="C60" s="19" t="n"/>
      <c r="D60" s="27" t="n">
        <v>0.01</v>
      </c>
      <c r="E60" s="18" t="inlineStr">
        <is>
          <t>%</t>
        </is>
      </c>
      <c r="F60" s="21" t="n"/>
      <c r="G60" s="19" t="n"/>
      <c r="H60" s="22" t="inlineStr">
        <is>
          <t>无明显好坏</t>
        </is>
      </c>
      <c r="I60" s="22" t="inlineStr">
        <is>
          <t>个人信用卡透支及分期 ÷ 个人贷款</t>
        </is>
      </c>
      <c r="J60" s="22" t="n"/>
      <c r="K60" s="23" t="inlineStr">
        <is>
          <t>目录中未找到</t>
        </is>
      </c>
      <c r="L60" s="24" t="n"/>
      <c r="M60" s="25" t="n"/>
      <c r="N60" s="21" t="inlineStr">
        <is>
          <t>个人信用卡透支及分期</t>
        </is>
      </c>
      <c r="O60" s="21" t="inlineStr">
        <is>
          <t>比率</t>
        </is>
      </c>
      <c r="P60" s="21" t="inlineStr">
        <is>
          <t>一览表</t>
        </is>
      </c>
    </row>
    <row r="61" outlineLevel="3">
      <c r="A61" s="33" t="inlineStr">
        <is>
          <t>〔按借款主体〕</t>
        </is>
      </c>
      <c r="B61" s="18" t="inlineStr">
        <is>
          <t>拆解方式</t>
        </is>
      </c>
      <c r="C61" s="18" t="n"/>
      <c r="D61" s="20" t="n"/>
      <c r="E61" s="18" t="n"/>
      <c r="F61" s="21">
        <f>IF((COUNTIFS($N$3:$N$337,N61,$O$3:$O$337,O61,$C$3:$C$337,"加")+COUNTIFS($N$3:$N$337,N61,$O$3:$O$337,O61,$C$3:$C$337,"减"))=0,"其中项，不参与加总",IF(ISNUMBER(D50)=FALSE,"上级无数值，无法校验",IF(SUMPRODUCT(($N$3:$N$337=N61)*($O$3:$O$337=O61)*(($C$3:$C$337="加")+($C$3:$C$337="减"))*(ISNUMBER($D$3:$D$337)=FALSE))&gt;0,"部分下级无数值，无法校验",IF(ABS(D50-(SUMIFS($D$3:$D$337,$N$3:$N$337,N61,$O$3:$O$337,O61,$C$3:$C$337,"加")-SUMIFS($D$3:$D$337,$N$3:$N$337,N61,$O$3:$O$337,O61,$C$3:$C$337,"减")))&lt;=MAX(0.05,ABS(D50)*0.0005),"✓ 合计与上级一致","✗ 合计与上级相差 "&amp;TEXT(D50-(SUMIFS($D$3:$D$337,$N$3:$N$337,N61,$O$3:$O$337,O61,$C$3:$C$337,"加")-SUMIFS($D$3:$D$337,$N$3:$N$337,N61,$O$3:$O$337,O61,$C$3:$C$337,"减")),"#,##0.00")))))</f>
        <v/>
      </c>
      <c r="G61" s="18" t="n"/>
      <c r="H61" s="21" t="n"/>
      <c r="I61" s="21" t="n"/>
      <c r="J61" s="21" t="n"/>
      <c r="K61" s="18" t="n"/>
      <c r="L61" s="18" t="n"/>
      <c r="M61" s="21" t="inlineStr">
        <is>
          <t>报表只列了两类主体，不构成完整拆分</t>
        </is>
      </c>
      <c r="N61" s="21" t="inlineStr">
        <is>
          <t>个人贷款</t>
        </is>
      </c>
      <c r="O61" s="21" t="inlineStr">
        <is>
          <t>按借款主体</t>
        </is>
      </c>
      <c r="P61" s="21" t="n"/>
    </row>
    <row r="62" outlineLevel="3">
      <c r="A62" s="34" t="inlineStr">
        <is>
          <t>农户贷款</t>
        </is>
      </c>
      <c r="B62" s="18" t="inlineStr">
        <is>
          <t>指标</t>
        </is>
      </c>
      <c r="C62" s="19" t="inlineStr">
        <is>
          <t>其中</t>
        </is>
      </c>
      <c r="D62" s="20" t="inlineStr">
        <is>
          <t>季度指标</t>
        </is>
      </c>
      <c r="E62" s="18" t="inlineStr">
        <is>
          <t>亿元</t>
        </is>
      </c>
      <c r="F62" s="21" t="n"/>
      <c r="G62" s="19" t="n"/>
      <c r="H62" s="22" t="inlineStr">
        <is>
          <t>越大越好</t>
        </is>
      </c>
      <c r="I62" s="22" t="n"/>
      <c r="J62" s="22" t="n"/>
      <c r="K62" s="23" t="inlineStr">
        <is>
          <t>目录中未找到</t>
        </is>
      </c>
      <c r="L62" s="24" t="n"/>
      <c r="M62" s="25" t="inlineStr">
        <is>
          <t>季度指标</t>
        </is>
      </c>
      <c r="N62" s="21" t="inlineStr">
        <is>
          <t>个人贷款</t>
        </is>
      </c>
      <c r="O62" s="21" t="inlineStr">
        <is>
          <t>按借款主体</t>
        </is>
      </c>
      <c r="P62" s="21" t="inlineStr">
        <is>
          <t>一览表 2026年7月末（全省，亿元/万户）</t>
        </is>
      </c>
    </row>
    <row r="63" outlineLevel="4">
      <c r="A63" s="35" t="inlineStr">
        <is>
          <t>农户贷款占个人贷款比</t>
        </is>
      </c>
      <c r="B63" s="18" t="inlineStr">
        <is>
          <t>比率</t>
        </is>
      </c>
      <c r="C63" s="19" t="n"/>
      <c r="D63" s="27" t="inlineStr">
        <is>
          <t>季度指标</t>
        </is>
      </c>
      <c r="E63" s="18" t="inlineStr">
        <is>
          <t>%</t>
        </is>
      </c>
      <c r="F63" s="21" t="n"/>
      <c r="G63" s="19" t="n"/>
      <c r="H63" s="22" t="inlineStr">
        <is>
          <t>无明显好坏</t>
        </is>
      </c>
      <c r="I63" s="22" t="inlineStr">
        <is>
          <t>农户贷款 ÷ 个人贷款</t>
        </is>
      </c>
      <c r="J63" s="22" t="n"/>
      <c r="K63" s="23" t="inlineStr">
        <is>
          <t>目录中未找到</t>
        </is>
      </c>
      <c r="L63" s="24" t="n"/>
      <c r="M63" s="25" t="inlineStr">
        <is>
          <t>季度指标</t>
        </is>
      </c>
      <c r="N63" s="21" t="inlineStr">
        <is>
          <t>农户贷款</t>
        </is>
      </c>
      <c r="O63" s="21" t="inlineStr">
        <is>
          <t>比率</t>
        </is>
      </c>
      <c r="P63" s="21" t="inlineStr">
        <is>
          <t>一览表</t>
        </is>
      </c>
    </row>
    <row r="64" outlineLevel="3">
      <c r="A64" s="34" t="inlineStr">
        <is>
          <t>个体工商户贷款</t>
        </is>
      </c>
      <c r="B64" s="18" t="inlineStr">
        <is>
          <t>指标</t>
        </is>
      </c>
      <c r="C64" s="19" t="inlineStr">
        <is>
          <t>其中</t>
        </is>
      </c>
      <c r="D64" s="20" t="n">
        <v>2661.05</v>
      </c>
      <c r="E64" s="18" t="inlineStr">
        <is>
          <t>亿元</t>
        </is>
      </c>
      <c r="F64" s="21" t="n"/>
      <c r="G64" s="19" t="n"/>
      <c r="H64" s="22" t="inlineStr">
        <is>
          <t>越大越好</t>
        </is>
      </c>
      <c r="I64" s="22" t="n"/>
      <c r="J64" s="22" t="n"/>
      <c r="K64" s="23" t="inlineStr">
        <is>
          <t>目录中未找到</t>
        </is>
      </c>
      <c r="L64" s="24" t="n"/>
      <c r="M64" s="25" t="n"/>
      <c r="N64" s="21" t="inlineStr">
        <is>
          <t>个人贷款</t>
        </is>
      </c>
      <c r="O64" s="21" t="inlineStr">
        <is>
          <t>按借款主体</t>
        </is>
      </c>
      <c r="P64" s="21" t="inlineStr">
        <is>
          <t>一览表 2026年7月末（全省，亿元/万户）</t>
        </is>
      </c>
    </row>
    <row r="65" outlineLevel="4">
      <c r="A65" s="35" t="inlineStr">
        <is>
          <t>个体工商户贷款占个人贷款比</t>
        </is>
      </c>
      <c r="B65" s="18" t="inlineStr">
        <is>
          <t>比率</t>
        </is>
      </c>
      <c r="C65" s="19" t="n"/>
      <c r="D65" s="27" t="n">
        <v>0.25</v>
      </c>
      <c r="E65" s="18" t="inlineStr">
        <is>
          <t>%</t>
        </is>
      </c>
      <c r="F65" s="21" t="n"/>
      <c r="G65" s="19" t="n"/>
      <c r="H65" s="22" t="inlineStr">
        <is>
          <t>无明显好坏</t>
        </is>
      </c>
      <c r="I65" s="22" t="inlineStr">
        <is>
          <t>个体工商户贷款 ÷ 个人贷款</t>
        </is>
      </c>
      <c r="J65" s="22" t="n"/>
      <c r="K65" s="23" t="inlineStr">
        <is>
          <t>目录中未找到</t>
        </is>
      </c>
      <c r="L65" s="24" t="n"/>
      <c r="M65" s="25" t="n"/>
      <c r="N65" s="21" t="inlineStr">
        <is>
          <t>个体工商户贷款</t>
        </is>
      </c>
      <c r="O65" s="21" t="inlineStr">
        <is>
          <t>比率</t>
        </is>
      </c>
      <c r="P65" s="21" t="inlineStr">
        <is>
          <t>一览表</t>
        </is>
      </c>
    </row>
    <row r="66" outlineLevel="2">
      <c r="A66" s="30" t="inlineStr">
        <is>
          <t>对公贷款（剔除贴现）</t>
        </is>
      </c>
      <c r="B66" s="18" t="inlineStr">
        <is>
          <t>指标</t>
        </is>
      </c>
      <c r="C66" s="19" t="inlineStr">
        <is>
          <t>加</t>
        </is>
      </c>
      <c r="D66" s="20" t="n">
        <v>20109.92</v>
      </c>
      <c r="E66" s="18" t="inlineStr">
        <is>
          <t>亿元</t>
        </is>
      </c>
      <c r="F66" s="21" t="n"/>
      <c r="G66" s="19" t="inlineStr">
        <is>
          <t>是</t>
        </is>
      </c>
      <c r="H66" s="22" t="inlineStr">
        <is>
          <t>越大越好</t>
        </is>
      </c>
      <c r="I66" s="22" t="n"/>
      <c r="J66" s="22" t="inlineStr">
        <is>
          <t>对公贷款余额_不含贴现及买断式转贴现</t>
        </is>
      </c>
      <c r="K66" s="32" t="inlineStr">
        <is>
          <t>近似，请核对</t>
        </is>
      </c>
      <c r="L66" s="24" t="n"/>
      <c r="M66" s="25" t="n"/>
      <c r="N66" s="21" t="inlineStr">
        <is>
          <t>各项贷款</t>
        </is>
      </c>
      <c r="O66" s="21" t="inlineStr">
        <is>
          <t>按业务类型</t>
        </is>
      </c>
      <c r="P66" s="21" t="inlineStr">
        <is>
          <t>一览表 2026年7月末（全省，亿元/万户）</t>
        </is>
      </c>
    </row>
    <row r="67" outlineLevel="3">
      <c r="A67" s="31" t="inlineStr">
        <is>
          <t>对公贷款占比</t>
        </is>
      </c>
      <c r="B67" s="18" t="inlineStr">
        <is>
          <t>比率</t>
        </is>
      </c>
      <c r="C67" s="19" t="n"/>
      <c r="D67" s="27" t="n">
        <v>0.57</v>
      </c>
      <c r="E67" s="18" t="inlineStr">
        <is>
          <t>%</t>
        </is>
      </c>
      <c r="F67" s="21" t="n"/>
      <c r="G67" s="19" t="n"/>
      <c r="H67" s="22" t="inlineStr">
        <is>
          <t>无明显好坏</t>
        </is>
      </c>
      <c r="I67" s="22" t="inlineStr">
        <is>
          <t>对公贷款（剔除贴现） ÷ 各项贷款</t>
        </is>
      </c>
      <c r="J67" s="22" t="n"/>
      <c r="K67" s="23" t="inlineStr">
        <is>
          <t>目录中未找到</t>
        </is>
      </c>
      <c r="L67" s="24" t="n"/>
      <c r="M67" s="25" t="n"/>
      <c r="N67" s="21" t="inlineStr">
        <is>
          <t>对公贷款（剔除贴现）</t>
        </is>
      </c>
      <c r="O67" s="21" t="inlineStr">
        <is>
          <t>比率</t>
        </is>
      </c>
      <c r="P67" s="21" t="inlineStr">
        <is>
          <t>一览表</t>
        </is>
      </c>
    </row>
    <row r="68" outlineLevel="3">
      <c r="A68" s="33" t="inlineStr">
        <is>
          <t>〔按担保方式〕</t>
        </is>
      </c>
      <c r="B68" s="18" t="inlineStr">
        <is>
          <t>拆解方式</t>
        </is>
      </c>
      <c r="C68" s="18" t="n"/>
      <c r="D68" s="20" t="n"/>
      <c r="E68" s="18" t="n"/>
      <c r="F68" s="21">
        <f>IF((COUNTIFS($N$3:$N$337,N68,$O$3:$O$337,O68,$C$3:$C$337,"加")+COUNTIFS($N$3:$N$337,N68,$O$3:$O$337,O68,$C$3:$C$337,"减"))=0,"其中项，不参与加总",IF(ISNUMBER(D66)=FALSE,"上级无数值，无法校验",IF(SUMPRODUCT(($N$3:$N$337=N68)*($O$3:$O$337=O68)*(($C$3:$C$337="加")+($C$3:$C$337="减"))*(ISNUMBER($D$3:$D$337)=FALSE))&gt;0,"部分下级无数值，无法校验",IF(ABS(D66-(SUMIFS($D$3:$D$337,$N$3:$N$337,N68,$O$3:$O$337,O68,$C$3:$C$337,"加")-SUMIFS($D$3:$D$337,$N$3:$N$337,N68,$O$3:$O$337,O68,$C$3:$C$337,"减")))&lt;=MAX(0.05,ABS(D66)*0.0005),"✓ 合计与上级一致","✗ 合计与上级相差 "&amp;TEXT(D66-(SUMIFS($D$3:$D$337,$N$3:$N$337,N68,$O$3:$O$337,O68,$C$3:$C$337,"加")-SUMIFS($D$3:$D$337,$N$3:$N$337,N68,$O$3:$O$337,O68,$C$3:$C$337,"减")),"#,##0.00")))))</f>
        <v/>
      </c>
      <c r="G68" s="18" t="n"/>
      <c r="H68" s="21" t="n"/>
      <c r="I68" s="21" t="n"/>
      <c r="J68" s="21" t="n"/>
      <c r="K68" s="18" t="n"/>
      <c r="L68" s="18" t="n"/>
      <c r="M68" s="21" t="n"/>
      <c r="N68" s="21" t="inlineStr">
        <is>
          <t>对公贷款（剔除贴现）</t>
        </is>
      </c>
      <c r="O68" s="21" t="inlineStr">
        <is>
          <t>按担保方式</t>
        </is>
      </c>
      <c r="P68" s="21" t="n"/>
    </row>
    <row r="69" outlineLevel="3">
      <c r="A69" s="34" t="inlineStr">
        <is>
          <t>对公信用贷款</t>
        </is>
      </c>
      <c r="B69" s="18" t="inlineStr">
        <is>
          <t>指标</t>
        </is>
      </c>
      <c r="C69" s="19" t="inlineStr">
        <is>
          <t>加</t>
        </is>
      </c>
      <c r="D69" s="20" t="n">
        <v>3219.57</v>
      </c>
      <c r="E69" s="18" t="inlineStr">
        <is>
          <t>亿元</t>
        </is>
      </c>
      <c r="F69" s="21" t="n"/>
      <c r="G69" s="19" t="n"/>
      <c r="H69" s="22" t="inlineStr">
        <is>
          <t>越大越好</t>
        </is>
      </c>
      <c r="I69" s="22" t="n"/>
      <c r="J69" s="22" t="n"/>
      <c r="K69" s="23" t="inlineStr">
        <is>
          <t>目录中未找到</t>
        </is>
      </c>
      <c r="L69" s="24" t="n"/>
      <c r="M69" s="25" t="n"/>
      <c r="N69" s="21" t="inlineStr">
        <is>
          <t>对公贷款（剔除贴现）</t>
        </is>
      </c>
      <c r="O69" s="21" t="inlineStr">
        <is>
          <t>按担保方式</t>
        </is>
      </c>
      <c r="P69" s="21" t="inlineStr">
        <is>
          <t>一览表 2026年7月末（全省，亿元/万户）</t>
        </is>
      </c>
    </row>
    <row r="70" outlineLevel="4">
      <c r="A70" s="35" t="inlineStr">
        <is>
          <t>对公信用贷款占对公贷款比</t>
        </is>
      </c>
      <c r="B70" s="18" t="inlineStr">
        <is>
          <t>比率</t>
        </is>
      </c>
      <c r="C70" s="19" t="n"/>
      <c r="D70" s="27" t="n">
        <v>0.16</v>
      </c>
      <c r="E70" s="18" t="inlineStr">
        <is>
          <t>%</t>
        </is>
      </c>
      <c r="F70" s="21" t="n"/>
      <c r="G70" s="19" t="n"/>
      <c r="H70" s="22" t="inlineStr">
        <is>
          <t>无明显好坏</t>
        </is>
      </c>
      <c r="I70" s="22" t="inlineStr">
        <is>
          <t>对公信用贷款 ÷ 对公贷款（剔除贴现）</t>
        </is>
      </c>
      <c r="J70" s="22" t="n"/>
      <c r="K70" s="23" t="inlineStr">
        <is>
          <t>目录中未找到</t>
        </is>
      </c>
      <c r="L70" s="24" t="n"/>
      <c r="M70" s="25" t="n"/>
      <c r="N70" s="21" t="inlineStr">
        <is>
          <t>对公信用贷款</t>
        </is>
      </c>
      <c r="O70" s="21" t="inlineStr">
        <is>
          <t>比率</t>
        </is>
      </c>
      <c r="P70" s="21" t="inlineStr">
        <is>
          <t>一览表</t>
        </is>
      </c>
    </row>
    <row r="71" outlineLevel="3">
      <c r="A71" s="34" t="inlineStr">
        <is>
          <t>对公保证贷款</t>
        </is>
      </c>
      <c r="B71" s="18" t="inlineStr">
        <is>
          <t>指标</t>
        </is>
      </c>
      <c r="C71" s="19" t="inlineStr">
        <is>
          <t>加</t>
        </is>
      </c>
      <c r="D71" s="20" t="n">
        <v>10306.53</v>
      </c>
      <c r="E71" s="18" t="inlineStr">
        <is>
          <t>亿元</t>
        </is>
      </c>
      <c r="F71" s="21" t="n"/>
      <c r="G71" s="19" t="n"/>
      <c r="H71" s="22" t="inlineStr">
        <is>
          <t>无明显好坏</t>
        </is>
      </c>
      <c r="I71" s="22" t="n"/>
      <c r="J71" s="22" t="n"/>
      <c r="K71" s="23" t="inlineStr">
        <is>
          <t>目录中未找到</t>
        </is>
      </c>
      <c r="L71" s="24" t="n"/>
      <c r="M71" s="25" t="n"/>
      <c r="N71" s="21" t="inlineStr">
        <is>
          <t>对公贷款（剔除贴现）</t>
        </is>
      </c>
      <c r="O71" s="21" t="inlineStr">
        <is>
          <t>按担保方式</t>
        </is>
      </c>
      <c r="P71" s="21" t="inlineStr">
        <is>
          <t>一览表 2026年7月末（全省，亿元/万户）</t>
        </is>
      </c>
    </row>
    <row r="72" outlineLevel="4">
      <c r="A72" s="35" t="inlineStr">
        <is>
          <t>对公保证贷款占对公贷款比</t>
        </is>
      </c>
      <c r="B72" s="18" t="inlineStr">
        <is>
          <t>比率</t>
        </is>
      </c>
      <c r="C72" s="19" t="n"/>
      <c r="D72" s="27" t="n">
        <v>0.51</v>
      </c>
      <c r="E72" s="18" t="inlineStr">
        <is>
          <t>%</t>
        </is>
      </c>
      <c r="F72" s="21" t="n"/>
      <c r="G72" s="19" t="n"/>
      <c r="H72" s="22" t="inlineStr">
        <is>
          <t>无明显好坏</t>
        </is>
      </c>
      <c r="I72" s="22" t="inlineStr">
        <is>
          <t>对公保证贷款 ÷ 对公贷款（剔除贴现）</t>
        </is>
      </c>
      <c r="J72" s="22" t="n"/>
      <c r="K72" s="23" t="inlineStr">
        <is>
          <t>目录中未找到</t>
        </is>
      </c>
      <c r="L72" s="24" t="n"/>
      <c r="M72" s="25" t="n"/>
      <c r="N72" s="21" t="inlineStr">
        <is>
          <t>对公保证贷款</t>
        </is>
      </c>
      <c r="O72" s="21" t="inlineStr">
        <is>
          <t>比率</t>
        </is>
      </c>
      <c r="P72" s="21" t="inlineStr">
        <is>
          <t>一览表</t>
        </is>
      </c>
    </row>
    <row r="73" outlineLevel="3">
      <c r="A73" s="34" t="inlineStr">
        <is>
          <t>对公抵质押贷款</t>
        </is>
      </c>
      <c r="B73" s="18" t="inlineStr">
        <is>
          <t>指标</t>
        </is>
      </c>
      <c r="C73" s="19" t="inlineStr">
        <is>
          <t>加</t>
        </is>
      </c>
      <c r="D73" s="20" t="n">
        <v>6583.8</v>
      </c>
      <c r="E73" s="18" t="inlineStr">
        <is>
          <t>亿元</t>
        </is>
      </c>
      <c r="F73" s="21" t="n"/>
      <c r="G73" s="19" t="n"/>
      <c r="H73" s="22" t="inlineStr">
        <is>
          <t>越大越好</t>
        </is>
      </c>
      <c r="I73" s="22" t="n"/>
      <c r="J73" s="22" t="n"/>
      <c r="K73" s="23" t="inlineStr">
        <is>
          <t>目录中未找到</t>
        </is>
      </c>
      <c r="L73" s="24" t="n"/>
      <c r="M73" s="25" t="n"/>
      <c r="N73" s="21" t="inlineStr">
        <is>
          <t>对公贷款（剔除贴现）</t>
        </is>
      </c>
      <c r="O73" s="21" t="inlineStr">
        <is>
          <t>按担保方式</t>
        </is>
      </c>
      <c r="P73" s="21" t="inlineStr">
        <is>
          <t>一览表 2026年7月末（全省，亿元/万户）</t>
        </is>
      </c>
    </row>
    <row r="74" outlineLevel="4">
      <c r="A74" s="35" t="inlineStr">
        <is>
          <t>对公抵质押贷款占对公贷款比</t>
        </is>
      </c>
      <c r="B74" s="18" t="inlineStr">
        <is>
          <t>比率</t>
        </is>
      </c>
      <c r="C74" s="19" t="n"/>
      <c r="D74" s="27" t="n">
        <v>0.33</v>
      </c>
      <c r="E74" s="18" t="inlineStr">
        <is>
          <t>%</t>
        </is>
      </c>
      <c r="F74" s="21" t="n"/>
      <c r="G74" s="19" t="n"/>
      <c r="H74" s="22" t="inlineStr">
        <is>
          <t>无明显好坏</t>
        </is>
      </c>
      <c r="I74" s="22" t="inlineStr">
        <is>
          <t>对公抵质押贷款 ÷ 对公贷款（剔除贴现）</t>
        </is>
      </c>
      <c r="J74" s="22" t="n"/>
      <c r="K74" s="23" t="inlineStr">
        <is>
          <t>目录中未找到</t>
        </is>
      </c>
      <c r="L74" s="24" t="n"/>
      <c r="M74" s="25" t="n"/>
      <c r="N74" s="21" t="inlineStr">
        <is>
          <t>对公抵质押贷款</t>
        </is>
      </c>
      <c r="O74" s="21" t="inlineStr">
        <is>
          <t>比率</t>
        </is>
      </c>
      <c r="P74" s="21" t="inlineStr">
        <is>
          <t>一览表</t>
        </is>
      </c>
    </row>
    <row r="75" outlineLevel="3">
      <c r="A75" s="33" t="inlineStr">
        <is>
          <t>〔按企业性质〕</t>
        </is>
      </c>
      <c r="B75" s="18" t="inlineStr">
        <is>
          <t>拆解方式</t>
        </is>
      </c>
      <c r="C75" s="18" t="n"/>
      <c r="D75" s="20" t="n"/>
      <c r="E75" s="18" t="n"/>
      <c r="F75" s="21">
        <f>IF((COUNTIFS($N$3:$N$337,N75,$O$3:$O$337,O75,$C$3:$C$337,"加")+COUNTIFS($N$3:$N$337,N75,$O$3:$O$337,O75,$C$3:$C$337,"减"))=0,"其中项，不参与加总",IF(ISNUMBER(D66)=FALSE,"上级无数值，无法校验",IF(SUMPRODUCT(($N$3:$N$337=N75)*($O$3:$O$337=O75)*(($C$3:$C$337="加")+($C$3:$C$337="减"))*(ISNUMBER($D$3:$D$337)=FALSE))&gt;0,"部分下级无数值，无法校验",IF(ABS(D66-(SUMIFS($D$3:$D$337,$N$3:$N$337,N75,$O$3:$O$337,O75,$C$3:$C$337,"加")-SUMIFS($D$3:$D$337,$N$3:$N$337,N75,$O$3:$O$337,O75,$C$3:$C$337,"减")))&lt;=MAX(0.05,ABS(D66)*0.0005),"✓ 合计与上级一致","✗ 合计与上级相差 "&amp;TEXT(D66-(SUMIFS($D$3:$D$337,$N$3:$N$337,N75,$O$3:$O$337,O75,$C$3:$C$337,"加")-SUMIFS($D$3:$D$337,$N$3:$N$337,N75,$O$3:$O$337,O75,$C$3:$C$337,"减")),"#,##0.00")))))</f>
        <v/>
      </c>
      <c r="G75" s="18" t="n"/>
      <c r="H75" s="21" t="n"/>
      <c r="I75" s="21" t="n"/>
      <c r="J75" s="21" t="n"/>
      <c r="K75" s="18" t="n"/>
      <c r="L75" s="18" t="n"/>
      <c r="M75" s="21" t="inlineStr">
        <is>
          <t>国企+私企与对公贷款不相等，报表中两者占比的分母为各项贷款，请确认</t>
        </is>
      </c>
      <c r="N75" s="21" t="inlineStr">
        <is>
          <t>对公贷款（剔除贴现）</t>
        </is>
      </c>
      <c r="O75" s="21" t="inlineStr">
        <is>
          <t>按企业性质</t>
        </is>
      </c>
      <c r="P75" s="21" t="n"/>
    </row>
    <row r="76" outlineLevel="3">
      <c r="A76" s="34" t="inlineStr">
        <is>
          <t>国企贷款</t>
        </is>
      </c>
      <c r="B76" s="18" t="inlineStr">
        <is>
          <t>指标</t>
        </is>
      </c>
      <c r="C76" s="19" t="inlineStr">
        <is>
          <t>其中</t>
        </is>
      </c>
      <c r="D76" s="20" t="n">
        <v>8298.83</v>
      </c>
      <c r="E76" s="18" t="inlineStr">
        <is>
          <t>亿元</t>
        </is>
      </c>
      <c r="F76" s="21" t="n"/>
      <c r="G76" s="19" t="n"/>
      <c r="H76" s="22" t="inlineStr">
        <is>
          <t>越大越好</t>
        </is>
      </c>
      <c r="I76" s="22" t="n"/>
      <c r="J76" s="22" t="n"/>
      <c r="K76" s="23" t="inlineStr">
        <is>
          <t>目录中未找到</t>
        </is>
      </c>
      <c r="L76" s="24" t="n"/>
      <c r="M76" s="25" t="n"/>
      <c r="N76" s="21" t="inlineStr">
        <is>
          <t>对公贷款（剔除贴现）</t>
        </is>
      </c>
      <c r="O76" s="21" t="inlineStr">
        <is>
          <t>按企业性质</t>
        </is>
      </c>
      <c r="P76" s="21" t="inlineStr">
        <is>
          <t>一览表 2026年7月末（全省，亿元/万户）</t>
        </is>
      </c>
    </row>
    <row r="77" outlineLevel="4">
      <c r="A77" s="35" t="inlineStr">
        <is>
          <t>国企贷款占各项贷款比</t>
        </is>
      </c>
      <c r="B77" s="18" t="inlineStr">
        <is>
          <t>比率</t>
        </is>
      </c>
      <c r="C77" s="19" t="n"/>
      <c r="D77" s="27" t="n">
        <v>0.24</v>
      </c>
      <c r="E77" s="18" t="inlineStr">
        <is>
          <t>%</t>
        </is>
      </c>
      <c r="F77" s="21" t="n"/>
      <c r="G77" s="19" t="n"/>
      <c r="H77" s="22" t="inlineStr">
        <is>
          <t>无明显好坏</t>
        </is>
      </c>
      <c r="I77" s="22" t="inlineStr">
        <is>
          <t>国企贷款 ÷ 各项贷款</t>
        </is>
      </c>
      <c r="J77" s="22" t="n"/>
      <c r="K77" s="23" t="inlineStr">
        <is>
          <t>目录中未找到</t>
        </is>
      </c>
      <c r="L77" s="24" t="n"/>
      <c r="M77" s="25" t="n"/>
      <c r="N77" s="21" t="inlineStr">
        <is>
          <t>国企贷款</t>
        </is>
      </c>
      <c r="O77" s="21" t="inlineStr">
        <is>
          <t>比率</t>
        </is>
      </c>
      <c r="P77" s="21" t="inlineStr">
        <is>
          <t>一览表</t>
        </is>
      </c>
    </row>
    <row r="78" outlineLevel="3">
      <c r="A78" s="34" t="inlineStr">
        <is>
          <t>私企贷款</t>
        </is>
      </c>
      <c r="B78" s="18" t="inlineStr">
        <is>
          <t>指标</t>
        </is>
      </c>
      <c r="C78" s="19" t="inlineStr">
        <is>
          <t>其中</t>
        </is>
      </c>
      <c r="D78" s="20" t="n">
        <v>10343.26</v>
      </c>
      <c r="E78" s="18" t="inlineStr">
        <is>
          <t>亿元</t>
        </is>
      </c>
      <c r="F78" s="21" t="n"/>
      <c r="G78" s="19" t="n"/>
      <c r="H78" s="22" t="inlineStr">
        <is>
          <t>越大越好</t>
        </is>
      </c>
      <c r="I78" s="22" t="n"/>
      <c r="J78" s="22" t="n"/>
      <c r="K78" s="23" t="inlineStr">
        <is>
          <t>目录中未找到</t>
        </is>
      </c>
      <c r="L78" s="24" t="n"/>
      <c r="M78" s="25" t="n"/>
      <c r="N78" s="21" t="inlineStr">
        <is>
          <t>对公贷款（剔除贴现）</t>
        </is>
      </c>
      <c r="O78" s="21" t="inlineStr">
        <is>
          <t>按企业性质</t>
        </is>
      </c>
      <c r="P78" s="21" t="inlineStr">
        <is>
          <t>一览表 2026年7月末（全省，亿元/万户）</t>
        </is>
      </c>
    </row>
    <row r="79" outlineLevel="4">
      <c r="A79" s="35" t="inlineStr">
        <is>
          <t>私企贷款占各项贷款比</t>
        </is>
      </c>
      <c r="B79" s="18" t="inlineStr">
        <is>
          <t>比率</t>
        </is>
      </c>
      <c r="C79" s="19" t="n"/>
      <c r="D79" s="27" t="n">
        <v>0.3</v>
      </c>
      <c r="E79" s="18" t="inlineStr">
        <is>
          <t>%</t>
        </is>
      </c>
      <c r="F79" s="21" t="n"/>
      <c r="G79" s="19" t="n"/>
      <c r="H79" s="22" t="inlineStr">
        <is>
          <t>无明显好坏</t>
        </is>
      </c>
      <c r="I79" s="22" t="inlineStr">
        <is>
          <t>私企贷款 ÷ 各项贷款</t>
        </is>
      </c>
      <c r="J79" s="22" t="n"/>
      <c r="K79" s="23" t="inlineStr">
        <is>
          <t>目录中未找到</t>
        </is>
      </c>
      <c r="L79" s="24" t="n"/>
      <c r="M79" s="25" t="n"/>
      <c r="N79" s="21" t="inlineStr">
        <is>
          <t>私企贷款</t>
        </is>
      </c>
      <c r="O79" s="21" t="inlineStr">
        <is>
          <t>比率</t>
        </is>
      </c>
      <c r="P79" s="21" t="inlineStr">
        <is>
          <t>一览表</t>
        </is>
      </c>
    </row>
    <row r="80" outlineLevel="2">
      <c r="A80" s="30" t="inlineStr">
        <is>
          <t>贴现及买断式转贴现</t>
        </is>
      </c>
      <c r="B80" s="18" t="inlineStr">
        <is>
          <t>指标</t>
        </is>
      </c>
      <c r="C80" s="19" t="inlineStr">
        <is>
          <t>加</t>
        </is>
      </c>
      <c r="D80" s="20" t="n">
        <v>4349.1</v>
      </c>
      <c r="E80" s="18" t="inlineStr">
        <is>
          <t>亿元</t>
        </is>
      </c>
      <c r="F80" s="21" t="n"/>
      <c r="G80" s="19" t="n"/>
      <c r="H80" s="22" t="inlineStr">
        <is>
          <t>无明显好坏</t>
        </is>
      </c>
      <c r="I80" s="22" t="n"/>
      <c r="J80" s="22" t="inlineStr">
        <is>
          <t>贴现及买断式转贴现余额</t>
        </is>
      </c>
      <c r="K80" s="28" t="inlineStr">
        <is>
          <t>完全一致</t>
        </is>
      </c>
      <c r="L80" s="24" t="n"/>
      <c r="M80" s="25" t="n"/>
      <c r="N80" s="21" t="inlineStr">
        <is>
          <t>各项贷款</t>
        </is>
      </c>
      <c r="O80" s="21" t="inlineStr">
        <is>
          <t>按业务类型</t>
        </is>
      </c>
      <c r="P80" s="21" t="inlineStr">
        <is>
          <t>一览表 2026年7月末（全省，亿元/万户）</t>
        </is>
      </c>
    </row>
    <row r="81" outlineLevel="3">
      <c r="A81" s="31" t="inlineStr">
        <is>
          <t>贴现资产占各项贷款比</t>
        </is>
      </c>
      <c r="B81" s="18" t="inlineStr">
        <is>
          <t>比率</t>
        </is>
      </c>
      <c r="C81" s="19" t="n"/>
      <c r="D81" s="27" t="n">
        <v>0.13</v>
      </c>
      <c r="E81" s="18" t="inlineStr">
        <is>
          <t>%</t>
        </is>
      </c>
      <c r="F81" s="21" t="n"/>
      <c r="G81" s="19" t="n"/>
      <c r="H81" s="22" t="inlineStr">
        <is>
          <t>无明显好坏</t>
        </is>
      </c>
      <c r="I81" s="22" t="inlineStr">
        <is>
          <t>贴现及买断式转贴现 ÷ 各项贷款</t>
        </is>
      </c>
      <c r="J81" s="22" t="inlineStr">
        <is>
          <t>贴现及买断式转贴现余额占比</t>
        </is>
      </c>
      <c r="K81" s="32" t="inlineStr">
        <is>
          <t>近似，请核对</t>
        </is>
      </c>
      <c r="L81" s="24" t="n"/>
      <c r="M81" s="25" t="n"/>
      <c r="N81" s="21" t="inlineStr">
        <is>
          <t>贴现及买断式转贴现</t>
        </is>
      </c>
      <c r="O81" s="21" t="inlineStr">
        <is>
          <t>比率</t>
        </is>
      </c>
      <c r="P81" s="21" t="inlineStr">
        <is>
          <t>一览表</t>
        </is>
      </c>
    </row>
    <row r="82" outlineLevel="3">
      <c r="A82" s="33" t="inlineStr">
        <is>
          <t>〔按贴现类型〕</t>
        </is>
      </c>
      <c r="B82" s="18" t="inlineStr">
        <is>
          <t>拆解方式</t>
        </is>
      </c>
      <c r="C82" s="18" t="n"/>
      <c r="D82" s="20" t="n"/>
      <c r="E82" s="18" t="n"/>
      <c r="F82" s="21">
        <f>IF((COUNTIFS($N$3:$N$337,N82,$O$3:$O$337,O82,$C$3:$C$337,"加")+COUNTIFS($N$3:$N$337,N82,$O$3:$O$337,O82,$C$3:$C$337,"减"))=0,"其中项，不参与加总",IF(ISNUMBER(D80)=FALSE,"上级无数值，无法校验",IF(SUMPRODUCT(($N$3:$N$337=N82)*($O$3:$O$337=O82)*(($C$3:$C$337="加")+($C$3:$C$337="减"))*(ISNUMBER($D$3:$D$337)=FALSE))&gt;0,"部分下级无数值，无法校验",IF(ABS(D80-(SUMIFS($D$3:$D$337,$N$3:$N$337,N82,$O$3:$O$337,O82,$C$3:$C$337,"加")-SUMIFS($D$3:$D$337,$N$3:$N$337,N82,$O$3:$O$337,O82,$C$3:$C$337,"减")))&lt;=MAX(0.05,ABS(D80)*0.0005),"✓ 合计与上级一致","✗ 合计与上级相差 "&amp;TEXT(D80-(SUMIFS($D$3:$D$337,$N$3:$N$337,N82,$O$3:$O$337,O82,$C$3:$C$337,"加")-SUMIFS($D$3:$D$337,$N$3:$N$337,N82,$O$3:$O$337,O82,$C$3:$C$337,"减")),"#,##0.00")))))</f>
        <v/>
      </c>
      <c r="G82" s="18" t="n"/>
      <c r="H82" s="21" t="n"/>
      <c r="I82" s="21" t="n"/>
      <c r="J82" s="21" t="n"/>
      <c r="K82" s="18" t="n"/>
      <c r="L82" s="18" t="n"/>
      <c r="M82" s="21" t="n"/>
      <c r="N82" s="21" t="inlineStr">
        <is>
          <t>贴现及买断式转贴现</t>
        </is>
      </c>
      <c r="O82" s="21" t="inlineStr">
        <is>
          <t>按贴现类型</t>
        </is>
      </c>
      <c r="P82" s="21" t="n"/>
    </row>
    <row r="83" outlineLevel="3">
      <c r="A83" s="34" t="inlineStr">
        <is>
          <t>直贴</t>
        </is>
      </c>
      <c r="B83" s="18" t="inlineStr">
        <is>
          <t>指标</t>
        </is>
      </c>
      <c r="C83" s="19" t="inlineStr">
        <is>
          <t>加</t>
        </is>
      </c>
      <c r="D83" s="20" t="n">
        <v>2349.48</v>
      </c>
      <c r="E83" s="18" t="inlineStr">
        <is>
          <t>亿元</t>
        </is>
      </c>
      <c r="F83" s="21" t="n"/>
      <c r="G83" s="19" t="n"/>
      <c r="H83" s="22" t="inlineStr">
        <is>
          <t>无明显好坏</t>
        </is>
      </c>
      <c r="I83" s="22" t="n"/>
      <c r="J83" s="22" t="inlineStr">
        <is>
          <t>贴现余额</t>
        </is>
      </c>
      <c r="K83" s="32" t="inlineStr">
        <is>
          <t>近似，请核对</t>
        </is>
      </c>
      <c r="L83" s="24" t="n"/>
      <c r="M83" s="25" t="n"/>
      <c r="N83" s="21" t="inlineStr">
        <is>
          <t>贴现及买断式转贴现</t>
        </is>
      </c>
      <c r="O83" s="21" t="inlineStr">
        <is>
          <t>按贴现类型</t>
        </is>
      </c>
      <c r="P83" s="21" t="inlineStr">
        <is>
          <t>一览表 2026年7月末（全省，亿元/万户）</t>
        </is>
      </c>
    </row>
    <row r="84" outlineLevel="4">
      <c r="A84" s="35" t="inlineStr">
        <is>
          <t>直贴占全部贴现资产比重</t>
        </is>
      </c>
      <c r="B84" s="18" t="inlineStr">
        <is>
          <t>比率</t>
        </is>
      </c>
      <c r="C84" s="19" t="n"/>
      <c r="D84" s="27" t="n">
        <v>0.54</v>
      </c>
      <c r="E84" s="18" t="inlineStr">
        <is>
          <t>%</t>
        </is>
      </c>
      <c r="F84" s="21" t="n"/>
      <c r="G84" s="19" t="n"/>
      <c r="H84" s="22" t="inlineStr">
        <is>
          <t>无明显好坏</t>
        </is>
      </c>
      <c r="I84" s="22" t="inlineStr">
        <is>
          <t>直贴 ÷ 贴现及买断式转贴现</t>
        </is>
      </c>
      <c r="J84" s="22" t="n"/>
      <c r="K84" s="23" t="inlineStr">
        <is>
          <t>目录中未找到</t>
        </is>
      </c>
      <c r="L84" s="24" t="n"/>
      <c r="M84" s="25" t="n"/>
      <c r="N84" s="21" t="inlineStr">
        <is>
          <t>直贴</t>
        </is>
      </c>
      <c r="O84" s="21" t="inlineStr">
        <is>
          <t>比率</t>
        </is>
      </c>
      <c r="P84" s="21" t="inlineStr">
        <is>
          <t>一览表</t>
        </is>
      </c>
    </row>
    <row r="85" outlineLevel="3">
      <c r="A85" s="34" t="inlineStr">
        <is>
          <t>买断式转贴现</t>
        </is>
      </c>
      <c r="B85" s="18" t="inlineStr">
        <is>
          <t>指标</t>
        </is>
      </c>
      <c r="C85" s="19" t="inlineStr">
        <is>
          <t>加</t>
        </is>
      </c>
      <c r="D85" s="20" t="n">
        <v>1999.62</v>
      </c>
      <c r="E85" s="18" t="inlineStr">
        <is>
          <t>亿元</t>
        </is>
      </c>
      <c r="F85" s="21" t="n"/>
      <c r="G85" s="19" t="n"/>
      <c r="H85" s="22" t="inlineStr">
        <is>
          <t>无明显好坏</t>
        </is>
      </c>
      <c r="I85" s="22" t="n"/>
      <c r="J85" s="22" t="inlineStr">
        <is>
          <t>买断式转贴现余额</t>
        </is>
      </c>
      <c r="K85" s="28" t="inlineStr">
        <is>
          <t>完全一致</t>
        </is>
      </c>
      <c r="L85" s="24" t="n"/>
      <c r="M85" s="25" t="n"/>
      <c r="N85" s="21" t="inlineStr">
        <is>
          <t>贴现及买断式转贴现</t>
        </is>
      </c>
      <c r="O85" s="21" t="inlineStr">
        <is>
          <t>按贴现类型</t>
        </is>
      </c>
      <c r="P85" s="21" t="inlineStr">
        <is>
          <t>一览表 2026年7月末（全省，亿元/万户）</t>
        </is>
      </c>
    </row>
    <row r="86" outlineLevel="4">
      <c r="A86" s="35" t="inlineStr">
        <is>
          <t>买断式转贴现占全部贴现资产比重</t>
        </is>
      </c>
      <c r="B86" s="18" t="inlineStr">
        <is>
          <t>比率</t>
        </is>
      </c>
      <c r="C86" s="19" t="n"/>
      <c r="D86" s="27" t="n">
        <v>0.46</v>
      </c>
      <c r="E86" s="18" t="inlineStr">
        <is>
          <t>%</t>
        </is>
      </c>
      <c r="F86" s="21" t="n"/>
      <c r="G86" s="19" t="n"/>
      <c r="H86" s="22" t="inlineStr">
        <is>
          <t>无明显好坏</t>
        </is>
      </c>
      <c r="I86" s="22" t="inlineStr">
        <is>
          <t>买断式转贴现 ÷ 贴现及买断式转贴现</t>
        </is>
      </c>
      <c r="J86" s="22" t="n"/>
      <c r="K86" s="23" t="inlineStr">
        <is>
          <t>目录中未找到</t>
        </is>
      </c>
      <c r="L86" s="24" t="n"/>
      <c r="M86" s="25" t="n"/>
      <c r="N86" s="21" t="inlineStr">
        <is>
          <t>买断式转贴现</t>
        </is>
      </c>
      <c r="O86" s="21" t="inlineStr">
        <is>
          <t>比率</t>
        </is>
      </c>
      <c r="P86" s="21" t="inlineStr">
        <is>
          <t>一览表</t>
        </is>
      </c>
    </row>
    <row r="87" outlineLevel="2">
      <c r="A87" s="29" t="inlineStr">
        <is>
          <t>〔专项口径〕</t>
        </is>
      </c>
      <c r="B87" s="18" t="inlineStr">
        <is>
          <t>拆解方式</t>
        </is>
      </c>
      <c r="C87" s="18" t="n"/>
      <c r="D87" s="20" t="n"/>
      <c r="E87" s="18" t="n"/>
      <c r="F87" s="21">
        <f>IF((COUNTIFS($N$3:$N$337,N87,$O$3:$O$337,O87,$C$3:$C$337,"加")+COUNTIFS($N$3:$N$337,N87,$O$3:$O$337,O87,$C$3:$C$337,"减"))=0,"其中项，不参与加总",IF(ISNUMBER(D48)=FALSE,"上级无数值，无法校验",IF(SUMPRODUCT(($N$3:$N$337=N87)*($O$3:$O$337=O87)*(($C$3:$C$337="加")+($C$3:$C$337="减"))*(ISNUMBER($D$3:$D$337)=FALSE))&gt;0,"部分下级无数值，无法校验",IF(ABS(D48-(SUMIFS($D$3:$D$337,$N$3:$N$337,N87,$O$3:$O$337,O87,$C$3:$C$337,"加")-SUMIFS($D$3:$D$337,$N$3:$N$337,N87,$O$3:$O$337,O87,$C$3:$C$337,"减")))&lt;=MAX(0.05,ABS(D48)*0.0005),"✓ 合计与上级一致","✗ 合计与上级相差 "&amp;TEXT(D48-(SUMIFS($D$3:$D$337,$N$3:$N$337,N87,$O$3:$O$337,O87,$C$3:$C$337,"加")-SUMIFS($D$3:$D$337,$N$3:$N$337,N87,$O$3:$O$337,O87,$C$3:$C$337,"减")),"#,##0.00")))))</f>
        <v/>
      </c>
      <c r="G87" s="18" t="n"/>
      <c r="H87" s="21" t="n"/>
      <c r="I87" s="21" t="n"/>
      <c r="J87" s="21" t="n"/>
      <c r="K87" s="18" t="n"/>
      <c r="L87" s="18" t="n"/>
      <c r="M87" s="21" t="inlineStr">
        <is>
          <t>专项口径之间相互交叉，不参与加总</t>
        </is>
      </c>
      <c r="N87" s="21" t="inlineStr">
        <is>
          <t>各项贷款</t>
        </is>
      </c>
      <c r="O87" s="21" t="inlineStr">
        <is>
          <t>专项口径</t>
        </is>
      </c>
      <c r="P87" s="21" t="n"/>
    </row>
    <row r="88" outlineLevel="2">
      <c r="A88" s="39" t="inlineStr">
        <is>
          <t>↪ 涉农贷款</t>
        </is>
      </c>
      <c r="B88" s="18" t="inlineStr">
        <is>
          <t>引用</t>
        </is>
      </c>
      <c r="C88" s="19" t="inlineStr">
        <is>
          <t>其中</t>
        </is>
      </c>
      <c r="D88" s="20" t="n">
        <v>12917.43</v>
      </c>
      <c r="E88" s="18" t="inlineStr">
        <is>
          <t>亿元</t>
        </is>
      </c>
      <c r="F88" s="21" t="n"/>
      <c r="G88" s="19" t="n"/>
      <c r="H88" s="22" t="n"/>
      <c r="I88" s="22" t="n"/>
      <c r="J88" s="22" t="n"/>
      <c r="K88" s="18" t="n"/>
      <c r="L88" s="24" t="n"/>
      <c r="M88" s="25" t="inlineStr">
        <is>
          <t>展开见：涉农贷款</t>
        </is>
      </c>
      <c r="N88" s="21" t="inlineStr">
        <is>
          <t>各项贷款</t>
        </is>
      </c>
      <c r="O88" s="21" t="inlineStr">
        <is>
          <t>专项口径</t>
        </is>
      </c>
      <c r="P88" s="21" t="inlineStr">
        <is>
          <t>一览表 2026年7月末（全省，亿元/万户）</t>
        </is>
      </c>
    </row>
    <row r="89" outlineLevel="2">
      <c r="A89" s="39" t="inlineStr">
        <is>
          <t>↪ 小微企业贷款（不含转贴现）</t>
        </is>
      </c>
      <c r="B89" s="18" t="inlineStr">
        <is>
          <t>引用</t>
        </is>
      </c>
      <c r="C89" s="19" t="inlineStr">
        <is>
          <t>其中</t>
        </is>
      </c>
      <c r="D89" s="20" t="n">
        <v>22936.01</v>
      </c>
      <c r="E89" s="18" t="inlineStr">
        <is>
          <t>亿元</t>
        </is>
      </c>
      <c r="F89" s="21" t="n"/>
      <c r="G89" s="19" t="n"/>
      <c r="H89" s="22" t="n"/>
      <c r="I89" s="22" t="n"/>
      <c r="J89" s="22" t="n"/>
      <c r="K89" s="18" t="n"/>
      <c r="L89" s="24" t="n"/>
      <c r="M89" s="25" t="inlineStr">
        <is>
          <t>展开见：小微企业贷款（不含转贴现）</t>
        </is>
      </c>
      <c r="N89" s="21" t="inlineStr">
        <is>
          <t>各项贷款</t>
        </is>
      </c>
      <c r="O89" s="21" t="inlineStr">
        <is>
          <t>专项口径</t>
        </is>
      </c>
      <c r="P89" s="21" t="inlineStr">
        <is>
          <t>一览表 2026年7月末（全省，亿元/万户）</t>
        </is>
      </c>
    </row>
    <row r="90" outlineLevel="2">
      <c r="A90" s="39" t="inlineStr">
        <is>
          <t>↪ 涉农与小微企业贷款</t>
        </is>
      </c>
      <c r="B90" s="18" t="inlineStr">
        <is>
          <t>引用</t>
        </is>
      </c>
      <c r="C90" s="19" t="inlineStr">
        <is>
          <t>其中</t>
        </is>
      </c>
      <c r="D90" s="20" t="n">
        <v>27606.07</v>
      </c>
      <c r="E90" s="18" t="inlineStr">
        <is>
          <t>亿元</t>
        </is>
      </c>
      <c r="F90" s="21" t="n"/>
      <c r="G90" s="19" t="n"/>
      <c r="H90" s="22" t="n"/>
      <c r="I90" s="22" t="n"/>
      <c r="J90" s="22" t="n"/>
      <c r="K90" s="18" t="n"/>
      <c r="L90" s="24" t="n"/>
      <c r="M90" s="25" t="inlineStr">
        <is>
          <t>展开见：涉农与小微企业贷款</t>
        </is>
      </c>
      <c r="N90" s="21" t="inlineStr">
        <is>
          <t>各项贷款</t>
        </is>
      </c>
      <c r="O90" s="21" t="inlineStr">
        <is>
          <t>专项口径</t>
        </is>
      </c>
      <c r="P90" s="21" t="inlineStr">
        <is>
          <t>一览表 2026年7月末（全省，亿元/万户）</t>
        </is>
      </c>
    </row>
    <row r="91" outlineLevel="2">
      <c r="A91" s="39" t="inlineStr">
        <is>
          <t>↪ 普惠型农户和普惠型小微企业贷款</t>
        </is>
      </c>
      <c r="B91" s="18" t="inlineStr">
        <is>
          <t>引用</t>
        </is>
      </c>
      <c r="C91" s="19" t="inlineStr">
        <is>
          <t>其中</t>
        </is>
      </c>
      <c r="D91" s="20" t="n">
        <v>11798.58</v>
      </c>
      <c r="E91" s="18" t="inlineStr">
        <is>
          <t>亿元</t>
        </is>
      </c>
      <c r="F91" s="21" t="n"/>
      <c r="G91" s="19" t="n"/>
      <c r="H91" s="22" t="n"/>
      <c r="I91" s="22" t="n"/>
      <c r="J91" s="22" t="n"/>
      <c r="K91" s="18" t="n"/>
      <c r="L91" s="24" t="n"/>
      <c r="M91" s="25" t="inlineStr">
        <is>
          <t>展开见：普惠型农户和普惠型小微企业贷款</t>
        </is>
      </c>
      <c r="N91" s="21" t="inlineStr">
        <is>
          <t>各项贷款</t>
        </is>
      </c>
      <c r="O91" s="21" t="inlineStr">
        <is>
          <t>专项口径</t>
        </is>
      </c>
      <c r="P91" s="21" t="inlineStr">
        <is>
          <t>一览表 2026年7月末（全省，亿元/万户）</t>
        </is>
      </c>
    </row>
    <row r="92" outlineLevel="2">
      <c r="A92" s="39" t="inlineStr">
        <is>
          <t>↪ 民营企业贷款（全口径）</t>
        </is>
      </c>
      <c r="B92" s="18" t="inlineStr">
        <is>
          <t>引用</t>
        </is>
      </c>
      <c r="C92" s="19" t="inlineStr">
        <is>
          <t>其中</t>
        </is>
      </c>
      <c r="D92" s="20" t="n">
        <v>18730.49</v>
      </c>
      <c r="E92" s="18" t="inlineStr">
        <is>
          <t>亿元</t>
        </is>
      </c>
      <c r="F92" s="21" t="n"/>
      <c r="G92" s="19" t="n"/>
      <c r="H92" s="22" t="n"/>
      <c r="I92" s="22" t="n"/>
      <c r="J92" s="22" t="n"/>
      <c r="K92" s="18" t="n"/>
      <c r="L92" s="24" t="n"/>
      <c r="M92" s="25" t="inlineStr">
        <is>
          <t>展开见：民营企业贷款（全口径）</t>
        </is>
      </c>
      <c r="N92" s="21" t="inlineStr">
        <is>
          <t>各项贷款</t>
        </is>
      </c>
      <c r="O92" s="21" t="inlineStr">
        <is>
          <t>专项口径</t>
        </is>
      </c>
      <c r="P92" s="21" t="inlineStr">
        <is>
          <t>一览表 2026年7月末（全省，亿元/万户）</t>
        </is>
      </c>
    </row>
    <row r="93" outlineLevel="2">
      <c r="A93" s="39" t="inlineStr">
        <is>
          <t>↪ 制造业贷款</t>
        </is>
      </c>
      <c r="B93" s="18" t="inlineStr">
        <is>
          <t>引用</t>
        </is>
      </c>
      <c r="C93" s="19" t="inlineStr">
        <is>
          <t>其中</t>
        </is>
      </c>
      <c r="D93" s="20" t="n">
        <v>8661</v>
      </c>
      <c r="E93" s="18" t="inlineStr">
        <is>
          <t>亿元</t>
        </is>
      </c>
      <c r="F93" s="21" t="n"/>
      <c r="G93" s="19" t="n"/>
      <c r="H93" s="22" t="n"/>
      <c r="I93" s="22" t="n"/>
      <c r="J93" s="22" t="n"/>
      <c r="K93" s="18" t="n"/>
      <c r="L93" s="24" t="n"/>
      <c r="M93" s="25" t="inlineStr">
        <is>
          <t>展开见：制造业贷款</t>
        </is>
      </c>
      <c r="N93" s="21" t="inlineStr">
        <is>
          <t>各项贷款</t>
        </is>
      </c>
      <c r="O93" s="21" t="inlineStr">
        <is>
          <t>专项口径</t>
        </is>
      </c>
      <c r="P93" s="21" t="inlineStr">
        <is>
          <t>一览表 2026年7月末（全省，亿元/万户）</t>
        </is>
      </c>
    </row>
    <row r="94" outlineLevel="2">
      <c r="A94" s="39" t="inlineStr">
        <is>
          <t>↪ 服务业贷款</t>
        </is>
      </c>
      <c r="B94" s="18" t="inlineStr">
        <is>
          <t>引用</t>
        </is>
      </c>
      <c r="C94" s="19" t="inlineStr">
        <is>
          <t>其中</t>
        </is>
      </c>
      <c r="D94" s="20" t="n">
        <v>13206.67</v>
      </c>
      <c r="E94" s="18" t="inlineStr">
        <is>
          <t>亿元</t>
        </is>
      </c>
      <c r="F94" s="21" t="n"/>
      <c r="G94" s="19" t="n"/>
      <c r="H94" s="22" t="n"/>
      <c r="I94" s="22" t="n"/>
      <c r="J94" s="22" t="n"/>
      <c r="K94" s="18" t="n"/>
      <c r="L94" s="24" t="n"/>
      <c r="M94" s="25" t="inlineStr">
        <is>
          <t>展开见：服务业贷款</t>
        </is>
      </c>
      <c r="N94" s="21" t="inlineStr">
        <is>
          <t>各项贷款</t>
        </is>
      </c>
      <c r="O94" s="21" t="inlineStr">
        <is>
          <t>专项口径</t>
        </is>
      </c>
      <c r="P94" s="21" t="inlineStr">
        <is>
          <t>一览表 2026年7月末（全省，亿元/万户）</t>
        </is>
      </c>
    </row>
    <row r="95" outlineLevel="1">
      <c r="A95" s="17" t="inlineStr">
        <is>
          <t>贷款市场份额</t>
        </is>
      </c>
      <c r="B95" s="18" t="inlineStr">
        <is>
          <t>指标</t>
        </is>
      </c>
      <c r="C95" s="19" t="n"/>
      <c r="D95" s="27" t="inlineStr">
        <is>
          <t>待公布</t>
        </is>
      </c>
      <c r="E95" s="18" t="inlineStr">
        <is>
          <t>%</t>
        </is>
      </c>
      <c r="F95" s="21" t="n"/>
      <c r="G95" s="19" t="n"/>
      <c r="H95" s="22" t="inlineStr">
        <is>
          <t>越大越好</t>
        </is>
      </c>
      <c r="I95" s="22" t="n"/>
      <c r="J95" s="22" t="inlineStr">
        <is>
          <t>贷款市场份额；贷款市场份额比率</t>
        </is>
      </c>
      <c r="K95" s="32" t="inlineStr">
        <is>
          <t>多个候选，请选择</t>
        </is>
      </c>
      <c r="L95" s="24" t="n"/>
      <c r="M95" s="25" t="inlineStr">
        <is>
          <t>待公布</t>
        </is>
      </c>
      <c r="N95" s="21" t="n"/>
      <c r="O95" s="21" t="n"/>
      <c r="P95" s="21" t="inlineStr">
        <is>
          <t>一览表 2026年7月末（全省，亿元/万户）</t>
        </is>
      </c>
    </row>
    <row r="96" outlineLevel="1">
      <c r="A96" s="17" t="inlineStr">
        <is>
          <t>100万以下贷款占比</t>
        </is>
      </c>
      <c r="B96" s="18" t="inlineStr">
        <is>
          <t>指标</t>
        </is>
      </c>
      <c r="C96" s="19" t="n"/>
      <c r="D96" s="27" t="inlineStr">
        <is>
          <t>季度指标</t>
        </is>
      </c>
      <c r="E96" s="18" t="inlineStr">
        <is>
          <t>%</t>
        </is>
      </c>
      <c r="F96" s="21" t="n"/>
      <c r="G96" s="19" t="n"/>
      <c r="H96" s="22" t="inlineStr">
        <is>
          <t>越大越好</t>
        </is>
      </c>
      <c r="I96" s="22" t="n"/>
      <c r="J96" s="22" t="inlineStr">
        <is>
          <t>100万以下贷款占比</t>
        </is>
      </c>
      <c r="K96" s="28" t="inlineStr">
        <is>
          <t>完全一致</t>
        </is>
      </c>
      <c r="L96" s="24" t="n"/>
      <c r="M96" s="25" t="inlineStr">
        <is>
          <t>季度指标</t>
        </is>
      </c>
      <c r="N96" s="21" t="n"/>
      <c r="O96" s="21" t="n"/>
      <c r="P96" s="21" t="inlineStr">
        <is>
          <t>一览表 2026年7月末（全省，亿元/万户）</t>
        </is>
      </c>
    </row>
    <row r="97" outlineLevel="1">
      <c r="A97" s="17" t="inlineStr">
        <is>
          <t>3000万以上贷款占比</t>
        </is>
      </c>
      <c r="B97" s="18" t="inlineStr">
        <is>
          <t>指标</t>
        </is>
      </c>
      <c r="C97" s="19" t="n"/>
      <c r="D97" s="27" t="inlineStr">
        <is>
          <t>季度指标</t>
        </is>
      </c>
      <c r="E97" s="18" t="inlineStr">
        <is>
          <t>%</t>
        </is>
      </c>
      <c r="F97" s="21" t="n"/>
      <c r="G97" s="19" t="n"/>
      <c r="H97" s="22" t="inlineStr">
        <is>
          <t>越小越好</t>
        </is>
      </c>
      <c r="I97" s="22" t="n"/>
      <c r="J97" s="22" t="inlineStr">
        <is>
          <t>三千万元不含以上贷款占比</t>
        </is>
      </c>
      <c r="K97" s="32" t="inlineStr">
        <is>
          <t>近似，请核对</t>
        </is>
      </c>
      <c r="L97" s="24" t="n"/>
      <c r="M97" s="25" t="inlineStr">
        <is>
          <t>季度指标</t>
        </is>
      </c>
      <c r="N97" s="21" t="n"/>
      <c r="O97" s="21" t="n"/>
      <c r="P97" s="21" t="inlineStr">
        <is>
          <t>一览表 2026年7月末（全省，亿元/万户）</t>
        </is>
      </c>
    </row>
    <row r="98" ht="22" customHeight="1">
      <c r="A98" s="13" t="inlineStr">
        <is>
          <t>四、客户</t>
        </is>
      </c>
      <c r="B98" s="14" t="inlineStr">
        <is>
          <t>板块</t>
        </is>
      </c>
      <c r="C98" s="14" t="n"/>
      <c r="D98" s="15" t="n"/>
      <c r="E98" s="14" t="n"/>
      <c r="F98" s="16" t="n"/>
      <c r="G98" s="14" t="n"/>
      <c r="H98" s="16" t="n"/>
      <c r="I98" s="16" t="n"/>
      <c r="J98" s="16" t="n"/>
      <c r="K98" s="14" t="n"/>
      <c r="L98" s="14" t="n"/>
      <c r="M98" s="16" t="n"/>
      <c r="N98" s="16" t="n"/>
      <c r="O98" s="16" t="n"/>
      <c r="P98" s="16" t="n"/>
    </row>
    <row r="99" outlineLevel="1">
      <c r="A99" s="17" t="inlineStr">
        <is>
          <t>信贷客户数</t>
        </is>
      </c>
      <c r="B99" s="18" t="inlineStr">
        <is>
          <t>指标</t>
        </is>
      </c>
      <c r="C99" s="19" t="n"/>
      <c r="D99" s="20" t="n">
        <v>397.56</v>
      </c>
      <c r="E99" s="18" t="inlineStr">
        <is>
          <t>万户</t>
        </is>
      </c>
      <c r="F99" s="21" t="n"/>
      <c r="G99" s="19" t="inlineStr">
        <is>
          <t>是</t>
        </is>
      </c>
      <c r="H99" s="22" t="inlineStr">
        <is>
          <t>越大越好</t>
        </is>
      </c>
      <c r="I99" s="22" t="n"/>
      <c r="J99" s="22" t="inlineStr">
        <is>
          <t>信贷客户数量</t>
        </is>
      </c>
      <c r="K99" s="28" t="inlineStr">
        <is>
          <t>完全一致</t>
        </is>
      </c>
      <c r="L99" s="24" t="n"/>
      <c r="M99" s="25" t="n"/>
      <c r="N99" s="21" t="n"/>
      <c r="O99" s="21" t="n"/>
      <c r="P99" s="21" t="inlineStr">
        <is>
          <t>一览表 2026年7月末（全省，亿元/万户）</t>
        </is>
      </c>
    </row>
    <row r="100" outlineLevel="2">
      <c r="A100" s="29" t="inlineStr">
        <is>
          <t>〔按客户类型〕</t>
        </is>
      </c>
      <c r="B100" s="18" t="inlineStr">
        <is>
          <t>拆解方式</t>
        </is>
      </c>
      <c r="C100" s="18" t="n"/>
      <c r="D100" s="20" t="n"/>
      <c r="E100" s="18" t="n"/>
      <c r="F100" s="21">
        <f>IF((COUNTIFS($N$3:$N$337,N100,$O$3:$O$337,O100,$C$3:$C$337,"加")+COUNTIFS($N$3:$N$337,N100,$O$3:$O$337,O100,$C$3:$C$337,"减"))=0,"其中项，不参与加总",IF(ISNUMBER(D99)=FALSE,"上级无数值，无法校验",IF(SUMPRODUCT(($N$3:$N$337=N100)*($O$3:$O$337=O100)*(($C$3:$C$337="加")+($C$3:$C$337="减"))*(ISNUMBER($D$3:$D$337)=FALSE))&gt;0,"部分下级无数值，无法校验",IF(ABS(D99-(SUMIFS($D$3:$D$337,$N$3:$N$337,N100,$O$3:$O$337,O100,$C$3:$C$337,"加")-SUMIFS($D$3:$D$337,$N$3:$N$337,N100,$O$3:$O$337,O100,$C$3:$C$337,"减")))&lt;=MAX(0.05,ABS(D99)*0.0005),"✓ 合计与上级一致","✗ 合计与上级相差 "&amp;TEXT(D99-(SUMIFS($D$3:$D$337,$N$3:$N$337,N100,$O$3:$O$337,O100,$C$3:$C$337,"加")-SUMIFS($D$3:$D$337,$N$3:$N$337,N100,$O$3:$O$337,O100,$C$3:$C$337,"减")),"#,##0.00")))))</f>
        <v/>
      </c>
      <c r="G100" s="18" t="n"/>
      <c r="H100" s="21" t="n"/>
      <c r="I100" s="21" t="n"/>
      <c r="J100" s="21" t="n"/>
      <c r="K100" s="18" t="n"/>
      <c r="L100" s="18" t="n"/>
      <c r="M100" s="21" t="n"/>
      <c r="N100" s="21" t="inlineStr">
        <is>
          <t>信贷客户数</t>
        </is>
      </c>
      <c r="O100" s="21" t="inlineStr">
        <is>
          <t>按客户类型</t>
        </is>
      </c>
      <c r="P100" s="21" t="n"/>
    </row>
    <row r="101" outlineLevel="2">
      <c r="A101" s="30" t="inlineStr">
        <is>
          <t>公司信贷客户数</t>
        </is>
      </c>
      <c r="B101" s="18" t="inlineStr">
        <is>
          <t>指标</t>
        </is>
      </c>
      <c r="C101" s="19" t="inlineStr">
        <is>
          <t>加</t>
        </is>
      </c>
      <c r="D101" s="20" t="n">
        <v>18.55</v>
      </c>
      <c r="E101" s="18" t="inlineStr">
        <is>
          <t>万户</t>
        </is>
      </c>
      <c r="F101" s="21" t="n"/>
      <c r="G101" s="19" t="n"/>
      <c r="H101" s="22" t="inlineStr">
        <is>
          <t>越大越好</t>
        </is>
      </c>
      <c r="I101" s="22" t="n"/>
      <c r="J101" s="22" t="n"/>
      <c r="K101" s="23" t="inlineStr">
        <is>
          <t>目录中未找到</t>
        </is>
      </c>
      <c r="L101" s="24" t="n"/>
      <c r="M101" s="25" t="n"/>
      <c r="N101" s="21" t="inlineStr">
        <is>
          <t>信贷客户数</t>
        </is>
      </c>
      <c r="O101" s="21" t="inlineStr">
        <is>
          <t>按客户类型</t>
        </is>
      </c>
      <c r="P101" s="21" t="inlineStr">
        <is>
          <t>一览表 2026年7月末（全省，亿元/万户）</t>
        </is>
      </c>
    </row>
    <row r="102" outlineLevel="3">
      <c r="A102" s="31" t="inlineStr">
        <is>
          <t>公司客户占信贷客户比</t>
        </is>
      </c>
      <c r="B102" s="18" t="inlineStr">
        <is>
          <t>比率</t>
        </is>
      </c>
      <c r="C102" s="19" t="n"/>
      <c r="D102" s="27" t="n">
        <v>0.05</v>
      </c>
      <c r="E102" s="18" t="inlineStr">
        <is>
          <t>%</t>
        </is>
      </c>
      <c r="F102" s="21" t="n"/>
      <c r="G102" s="19" t="n"/>
      <c r="H102" s="22" t="inlineStr">
        <is>
          <t>无明显好坏</t>
        </is>
      </c>
      <c r="I102" s="22" t="inlineStr">
        <is>
          <t>公司信贷客户数 ÷ 信贷客户数</t>
        </is>
      </c>
      <c r="J102" s="22" t="n"/>
      <c r="K102" s="23" t="inlineStr">
        <is>
          <t>目录中未找到</t>
        </is>
      </c>
      <c r="L102" s="24" t="n"/>
      <c r="M102" s="25" t="n"/>
      <c r="N102" s="21" t="inlineStr">
        <is>
          <t>公司信贷客户数</t>
        </is>
      </c>
      <c r="O102" s="21" t="inlineStr">
        <is>
          <t>比率</t>
        </is>
      </c>
      <c r="P102" s="21" t="inlineStr">
        <is>
          <t>一览表</t>
        </is>
      </c>
    </row>
    <row r="103" outlineLevel="2">
      <c r="A103" s="30" t="inlineStr">
        <is>
          <t>个人信贷客户数</t>
        </is>
      </c>
      <c r="B103" s="18" t="inlineStr">
        <is>
          <t>指标</t>
        </is>
      </c>
      <c r="C103" s="19" t="inlineStr">
        <is>
          <t>加</t>
        </is>
      </c>
      <c r="D103" s="20" t="n">
        <v>379.01</v>
      </c>
      <c r="E103" s="18" t="inlineStr">
        <is>
          <t>万户</t>
        </is>
      </c>
      <c r="F103" s="21" t="n"/>
      <c r="G103" s="19" t="n"/>
      <c r="H103" s="22" t="inlineStr">
        <is>
          <t>越大越好</t>
        </is>
      </c>
      <c r="I103" s="22" t="n"/>
      <c r="J103" s="22" t="inlineStr">
        <is>
          <t>个人贷款客户数量</t>
        </is>
      </c>
      <c r="K103" s="32" t="inlineStr">
        <is>
          <t>近似，请核对</t>
        </is>
      </c>
      <c r="L103" s="24" t="n"/>
      <c r="M103" s="25" t="n"/>
      <c r="N103" s="21" t="inlineStr">
        <is>
          <t>信贷客户数</t>
        </is>
      </c>
      <c r="O103" s="21" t="inlineStr">
        <is>
          <t>按客户类型</t>
        </is>
      </c>
      <c r="P103" s="21" t="inlineStr">
        <is>
          <t>一览表 2026年7月末（全省，亿元/万户）</t>
        </is>
      </c>
    </row>
    <row r="104" outlineLevel="3">
      <c r="A104" s="31" t="inlineStr">
        <is>
          <t>个人客户占信贷客户比</t>
        </is>
      </c>
      <c r="B104" s="18" t="inlineStr">
        <is>
          <t>比率</t>
        </is>
      </c>
      <c r="C104" s="19" t="n"/>
      <c r="D104" s="27" t="n">
        <v>0.95</v>
      </c>
      <c r="E104" s="18" t="inlineStr">
        <is>
          <t>%</t>
        </is>
      </c>
      <c r="F104" s="21" t="n"/>
      <c r="G104" s="19" t="n"/>
      <c r="H104" s="22" t="inlineStr">
        <is>
          <t>无明显好坏</t>
        </is>
      </c>
      <c r="I104" s="22" t="inlineStr">
        <is>
          <t>个人信贷客户数 ÷ 信贷客户数</t>
        </is>
      </c>
      <c r="J104" s="22" t="inlineStr">
        <is>
          <t>个人贷款客户数占信贷客户占比</t>
        </is>
      </c>
      <c r="K104" s="32" t="inlineStr">
        <is>
          <t>近似，请核对</t>
        </is>
      </c>
      <c r="L104" s="24" t="n"/>
      <c r="M104" s="25" t="n"/>
      <c r="N104" s="21" t="inlineStr">
        <is>
          <t>个人信贷客户数</t>
        </is>
      </c>
      <c r="O104" s="21" t="inlineStr">
        <is>
          <t>比率</t>
        </is>
      </c>
      <c r="P104" s="21" t="inlineStr">
        <is>
          <t>一览表</t>
        </is>
      </c>
    </row>
    <row r="105" outlineLevel="3">
      <c r="A105" s="33" t="inlineStr">
        <is>
          <t>〔其中项〕</t>
        </is>
      </c>
      <c r="B105" s="18" t="inlineStr">
        <is>
          <t>拆解方式</t>
        </is>
      </c>
      <c r="C105" s="18" t="n"/>
      <c r="D105" s="20" t="n"/>
      <c r="E105" s="18" t="n"/>
      <c r="F105" s="21">
        <f>IF((COUNTIFS($N$3:$N$337,N105,$O$3:$O$337,O105,$C$3:$C$337,"加")+COUNTIFS($N$3:$N$337,N105,$O$3:$O$337,O105,$C$3:$C$337,"减"))=0,"其中项，不参与加总",IF(ISNUMBER(D103)=FALSE,"上级无数值，无法校验",IF(SUMPRODUCT(($N$3:$N$337=N105)*($O$3:$O$337=O105)*(($C$3:$C$337="加")+($C$3:$C$337="减"))*(ISNUMBER($D$3:$D$337)=FALSE))&gt;0,"部分下级无数值，无法校验",IF(ABS(D103-(SUMIFS($D$3:$D$337,$N$3:$N$337,N105,$O$3:$O$337,O105,$C$3:$C$337,"加")-SUMIFS($D$3:$D$337,$N$3:$N$337,N105,$O$3:$O$337,O105,$C$3:$C$337,"减")))&lt;=MAX(0.05,ABS(D103)*0.0005),"✓ 合计与上级一致","✗ 合计与上级相差 "&amp;TEXT(D103-(SUMIFS($D$3:$D$337,$N$3:$N$337,N105,$O$3:$O$337,O105,$C$3:$C$337,"加")-SUMIFS($D$3:$D$337,$N$3:$N$337,N105,$O$3:$O$337,O105,$C$3:$C$337,"减")),"#,##0.00")))))</f>
        <v/>
      </c>
      <c r="G105" s="18" t="n"/>
      <c r="H105" s="21" t="n"/>
      <c r="I105" s="21" t="n"/>
      <c r="J105" s="21" t="n"/>
      <c r="K105" s="18" t="n"/>
      <c r="L105" s="18" t="n"/>
      <c r="M105" s="21" t="n"/>
      <c r="N105" s="21" t="inlineStr">
        <is>
          <t>个人信贷客户数</t>
        </is>
      </c>
      <c r="O105" s="21" t="inlineStr">
        <is>
          <t>其中项</t>
        </is>
      </c>
      <c r="P105" s="21" t="n"/>
    </row>
    <row r="106" outlineLevel="3">
      <c r="A106" s="34" t="inlineStr">
        <is>
          <t>有效个人信贷客户数</t>
        </is>
      </c>
      <c r="B106" s="18" t="inlineStr">
        <is>
          <t>指标</t>
        </is>
      </c>
      <c r="C106" s="19" t="inlineStr">
        <is>
          <t>其中</t>
        </is>
      </c>
      <c r="D106" s="20" t="n">
        <v>291.11</v>
      </c>
      <c r="E106" s="18" t="inlineStr">
        <is>
          <t>万户</t>
        </is>
      </c>
      <c r="F106" s="21" t="n"/>
      <c r="G106" s="19" t="n"/>
      <c r="H106" s="22" t="inlineStr">
        <is>
          <t>越大越好</t>
        </is>
      </c>
      <c r="I106" s="22" t="n"/>
      <c r="J106" s="22" t="inlineStr">
        <is>
          <t>有效个人贷款客户数量_不含信用卡互联网合作类贷款</t>
        </is>
      </c>
      <c r="K106" s="32" t="inlineStr">
        <is>
          <t>近似，请核对</t>
        </is>
      </c>
      <c r="L106" s="24" t="n"/>
      <c r="M106" s="25" t="n"/>
      <c r="N106" s="21" t="inlineStr">
        <is>
          <t>个人信贷客户数</t>
        </is>
      </c>
      <c r="O106" s="21" t="inlineStr">
        <is>
          <t>其中项</t>
        </is>
      </c>
      <c r="P106" s="21" t="inlineStr">
        <is>
          <t>一览表 2026年7月末（全省，亿元/万户）</t>
        </is>
      </c>
    </row>
    <row r="107" outlineLevel="4">
      <c r="A107" s="35" t="inlineStr">
        <is>
          <t>有效个人客户占全部个人客户比</t>
        </is>
      </c>
      <c r="B107" s="18" t="inlineStr">
        <is>
          <t>比率</t>
        </is>
      </c>
      <c r="C107" s="19" t="n"/>
      <c r="D107" s="27" t="n">
        <v>0.77</v>
      </c>
      <c r="E107" s="18" t="inlineStr">
        <is>
          <t>%</t>
        </is>
      </c>
      <c r="F107" s="21" t="n"/>
      <c r="G107" s="19" t="n"/>
      <c r="H107" s="22" t="inlineStr">
        <is>
          <t>越大越好</t>
        </is>
      </c>
      <c r="I107" s="22" t="inlineStr">
        <is>
          <t>有效个人信贷客户数 ÷ 个人信贷客户数</t>
        </is>
      </c>
      <c r="J107" s="22" t="n"/>
      <c r="K107" s="23" t="inlineStr">
        <is>
          <t>目录中未找到</t>
        </is>
      </c>
      <c r="L107" s="24" t="n"/>
      <c r="M107" s="25" t="n"/>
      <c r="N107" s="21" t="inlineStr">
        <is>
          <t>有效个人信贷客户数</t>
        </is>
      </c>
      <c r="O107" s="21" t="inlineStr">
        <is>
          <t>比率</t>
        </is>
      </c>
      <c r="P107" s="21" t="inlineStr">
        <is>
          <t>一览表</t>
        </is>
      </c>
    </row>
    <row r="108" outlineLevel="1">
      <c r="A108" s="17" t="inlineStr">
        <is>
          <t>零售客户数</t>
        </is>
      </c>
      <c r="B108" s="18" t="inlineStr">
        <is>
          <t>指标</t>
        </is>
      </c>
      <c r="C108" s="19" t="n"/>
      <c r="D108" s="20" t="n"/>
      <c r="E108" s="18" t="inlineStr">
        <is>
          <t>万户</t>
        </is>
      </c>
      <c r="F108" s="21" t="n"/>
      <c r="G108" s="19" t="n"/>
      <c r="H108" s="22" t="inlineStr">
        <is>
          <t>越大越好</t>
        </is>
      </c>
      <c r="I108" s="22" t="n"/>
      <c r="J108" s="22" t="n"/>
      <c r="K108" s="23" t="inlineStr">
        <is>
          <t>目录中未找到</t>
        </is>
      </c>
      <c r="L108" s="24" t="n"/>
      <c r="M108" s="25" t="inlineStr">
        <is>
          <t>报表未直接列示，下列分层占比以它为分母，建议补充</t>
        </is>
      </c>
      <c r="N108" s="21" t="n"/>
      <c r="O108" s="21" t="n"/>
      <c r="P108" s="21" t="inlineStr">
        <is>
          <t>一览表 2026年7月末（全省，亿元/万户）</t>
        </is>
      </c>
    </row>
    <row r="109" outlineLevel="2">
      <c r="A109" s="29" t="inlineStr">
        <is>
          <t>〔按AUM分层〕</t>
        </is>
      </c>
      <c r="B109" s="18" t="inlineStr">
        <is>
          <t>拆解方式</t>
        </is>
      </c>
      <c r="C109" s="18" t="n"/>
      <c r="D109" s="20" t="n"/>
      <c r="E109" s="18" t="n"/>
      <c r="F109" s="21">
        <f>IF((COUNTIFS($N$3:$N$337,N109,$O$3:$O$337,O109,$C$3:$C$337,"加")+COUNTIFS($N$3:$N$337,N109,$O$3:$O$337,O109,$C$3:$C$337,"减"))=0,"其中项，不参与加总",IF(ISNUMBER(D108)=FALSE,"上级无数值，无法校验",IF(SUMPRODUCT(($N$3:$N$337=N109)*($O$3:$O$337=O109)*(($C$3:$C$337="加")+($C$3:$C$337="减"))*(ISNUMBER($D$3:$D$337)=FALSE))&gt;0,"部分下级无数值，无法校验",IF(ABS(D108-(SUMIFS($D$3:$D$337,$N$3:$N$337,N109,$O$3:$O$337,O109,$C$3:$C$337,"加")-SUMIFS($D$3:$D$337,$N$3:$N$337,N109,$O$3:$O$337,O109,$C$3:$C$337,"减")))&lt;=MAX(0.05,ABS(D108)*0.0005),"✓ 合计与上级一致","✗ 合计与上级相差 "&amp;TEXT(D108-(SUMIFS($D$3:$D$337,$N$3:$N$337,N109,$O$3:$O$337,O109,$C$3:$C$337,"加")-SUMIFS($D$3:$D$337,$N$3:$N$337,N109,$O$3:$O$337,O109,$C$3:$C$337,"减")),"#,##0.00")))))</f>
        <v/>
      </c>
      <c r="G109" s="18" t="n"/>
      <c r="H109" s="21" t="n"/>
      <c r="I109" s="21" t="n"/>
      <c r="J109" s="21" t="n"/>
      <c r="K109" s="18" t="n"/>
      <c r="L109" s="18" t="n"/>
      <c r="M109" s="21" t="inlineStr">
        <is>
          <t>上级“零售客户数”报表未列示，无法校验</t>
        </is>
      </c>
      <c r="N109" s="21" t="inlineStr">
        <is>
          <t>零售客户数</t>
        </is>
      </c>
      <c r="O109" s="21" t="inlineStr">
        <is>
          <t>按AUM分层</t>
        </is>
      </c>
      <c r="P109" s="21" t="n"/>
    </row>
    <row r="110" outlineLevel="2">
      <c r="A110" s="30" t="inlineStr">
        <is>
          <t>铜鼎客户数</t>
        </is>
      </c>
      <c r="B110" s="18" t="inlineStr">
        <is>
          <t>指标</t>
        </is>
      </c>
      <c r="C110" s="19" t="inlineStr">
        <is>
          <t>加</t>
        </is>
      </c>
      <c r="D110" s="20" t="n">
        <v>4872.29</v>
      </c>
      <c r="E110" s="18" t="inlineStr">
        <is>
          <t>万户</t>
        </is>
      </c>
      <c r="F110" s="21" t="n"/>
      <c r="G110" s="19" t="n"/>
      <c r="H110" s="22" t="inlineStr">
        <is>
          <t>越大越好</t>
        </is>
      </c>
      <c r="I110" s="22" t="n"/>
      <c r="J110" s="22" t="inlineStr">
        <is>
          <t>个人铜鼎客户数量</t>
        </is>
      </c>
      <c r="K110" s="32" t="inlineStr">
        <is>
          <t>近似，请核对</t>
        </is>
      </c>
      <c r="L110" s="24" t="n"/>
      <c r="M110" s="25" t="inlineStr">
        <is>
          <t>AUM 10万元以下</t>
        </is>
      </c>
      <c r="N110" s="21" t="inlineStr">
        <is>
          <t>零售客户数</t>
        </is>
      </c>
      <c r="O110" s="21" t="inlineStr">
        <is>
          <t>按AUM分层</t>
        </is>
      </c>
      <c r="P110" s="21" t="inlineStr">
        <is>
          <t>一览表 2026年7月末（全省，亿元/万户）</t>
        </is>
      </c>
    </row>
    <row r="111" outlineLevel="3">
      <c r="A111" s="31" t="inlineStr">
        <is>
          <t>铜鼎客户占零售客户比</t>
        </is>
      </c>
      <c r="B111" s="18" t="inlineStr">
        <is>
          <t>比率</t>
        </is>
      </c>
      <c r="C111" s="19" t="n"/>
      <c r="D111" s="27" t="n">
        <v>0.85</v>
      </c>
      <c r="E111" s="18" t="inlineStr">
        <is>
          <t>%</t>
        </is>
      </c>
      <c r="F111" s="21" t="n"/>
      <c r="G111" s="19" t="n"/>
      <c r="H111" s="22" t="inlineStr">
        <is>
          <t>无明显好坏</t>
        </is>
      </c>
      <c r="I111" s="22" t="inlineStr">
        <is>
          <t>铜鼎客户数 ÷ 零售客户数</t>
        </is>
      </c>
      <c r="J111" s="22" t="n"/>
      <c r="K111" s="23" t="inlineStr">
        <is>
          <t>目录中未找到</t>
        </is>
      </c>
      <c r="L111" s="24" t="n"/>
      <c r="M111" s="25" t="n"/>
      <c r="N111" s="21" t="inlineStr">
        <is>
          <t>铜鼎客户数</t>
        </is>
      </c>
      <c r="O111" s="21" t="inlineStr">
        <is>
          <t>比率</t>
        </is>
      </c>
      <c r="P111" s="21" t="inlineStr">
        <is>
          <t>一览表</t>
        </is>
      </c>
    </row>
    <row r="112" outlineLevel="2">
      <c r="A112" s="30" t="inlineStr">
        <is>
          <t>银鼎客户数</t>
        </is>
      </c>
      <c r="B112" s="18" t="inlineStr">
        <is>
          <t>指标</t>
        </is>
      </c>
      <c r="C112" s="19" t="inlineStr">
        <is>
          <t>加</t>
        </is>
      </c>
      <c r="D112" s="20" t="n">
        <v>716.4400000000001</v>
      </c>
      <c r="E112" s="18" t="inlineStr">
        <is>
          <t>万户</t>
        </is>
      </c>
      <c r="F112" s="21" t="n"/>
      <c r="G112" s="19" t="n"/>
      <c r="H112" s="22" t="inlineStr">
        <is>
          <t>越大越好</t>
        </is>
      </c>
      <c r="I112" s="22" t="n"/>
      <c r="J112" s="22" t="inlineStr">
        <is>
          <t>个人银鼎客户数量</t>
        </is>
      </c>
      <c r="K112" s="32" t="inlineStr">
        <is>
          <t>近似，请核对</t>
        </is>
      </c>
      <c r="L112" s="24" t="n"/>
      <c r="M112" s="25" t="inlineStr">
        <is>
          <t>AUM 10万-50万元</t>
        </is>
      </c>
      <c r="N112" s="21" t="inlineStr">
        <is>
          <t>零售客户数</t>
        </is>
      </c>
      <c r="O112" s="21" t="inlineStr">
        <is>
          <t>按AUM分层</t>
        </is>
      </c>
      <c r="P112" s="21" t="inlineStr">
        <is>
          <t>一览表 2026年7月末（全省，亿元/万户）</t>
        </is>
      </c>
    </row>
    <row r="113" outlineLevel="3">
      <c r="A113" s="31" t="inlineStr">
        <is>
          <t>银鼎客户占零售客户比</t>
        </is>
      </c>
      <c r="B113" s="18" t="inlineStr">
        <is>
          <t>比率</t>
        </is>
      </c>
      <c r="C113" s="19" t="n"/>
      <c r="D113" s="27" t="n">
        <v>0.12</v>
      </c>
      <c r="E113" s="18" t="inlineStr">
        <is>
          <t>%</t>
        </is>
      </c>
      <c r="F113" s="21" t="n"/>
      <c r="G113" s="19" t="n"/>
      <c r="H113" s="22" t="inlineStr">
        <is>
          <t>无明显好坏</t>
        </is>
      </c>
      <c r="I113" s="22" t="inlineStr">
        <is>
          <t>银鼎客户数 ÷ 零售客户数</t>
        </is>
      </c>
      <c r="J113" s="22" t="n"/>
      <c r="K113" s="23" t="inlineStr">
        <is>
          <t>目录中未找到</t>
        </is>
      </c>
      <c r="L113" s="24" t="n"/>
      <c r="M113" s="25" t="n"/>
      <c r="N113" s="21" t="inlineStr">
        <is>
          <t>银鼎客户数</t>
        </is>
      </c>
      <c r="O113" s="21" t="inlineStr">
        <is>
          <t>比率</t>
        </is>
      </c>
      <c r="P113" s="21" t="inlineStr">
        <is>
          <t>一览表</t>
        </is>
      </c>
    </row>
    <row r="114" outlineLevel="2">
      <c r="A114" s="30" t="inlineStr">
        <is>
          <t>金鼎客户数</t>
        </is>
      </c>
      <c r="B114" s="18" t="inlineStr">
        <is>
          <t>指标</t>
        </is>
      </c>
      <c r="C114" s="19" t="inlineStr">
        <is>
          <t>加</t>
        </is>
      </c>
      <c r="D114" s="20" t="n">
        <v>144.73</v>
      </c>
      <c r="E114" s="18" t="inlineStr">
        <is>
          <t>万户</t>
        </is>
      </c>
      <c r="F114" s="21" t="n"/>
      <c r="G114" s="19" t="n"/>
      <c r="H114" s="22" t="inlineStr">
        <is>
          <t>越大越好</t>
        </is>
      </c>
      <c r="I114" s="22" t="n"/>
      <c r="J114" s="22" t="inlineStr">
        <is>
          <t>个人金鼎客户数量</t>
        </is>
      </c>
      <c r="K114" s="32" t="inlineStr">
        <is>
          <t>近似，请核对</t>
        </is>
      </c>
      <c r="L114" s="24" t="n"/>
      <c r="M114" s="25" t="inlineStr">
        <is>
          <t>AUM 50万-200万元</t>
        </is>
      </c>
      <c r="N114" s="21" t="inlineStr">
        <is>
          <t>零售客户数</t>
        </is>
      </c>
      <c r="O114" s="21" t="inlineStr">
        <is>
          <t>按AUM分层</t>
        </is>
      </c>
      <c r="P114" s="21" t="inlineStr">
        <is>
          <t>一览表 2026年7月末（全省，亿元/万户）</t>
        </is>
      </c>
    </row>
    <row r="115" outlineLevel="3">
      <c r="A115" s="31" t="inlineStr">
        <is>
          <t>金鼎客户占零售客户比</t>
        </is>
      </c>
      <c r="B115" s="18" t="inlineStr">
        <is>
          <t>比率</t>
        </is>
      </c>
      <c r="C115" s="19" t="n"/>
      <c r="D115" s="27" t="n">
        <v>0.03</v>
      </c>
      <c r="E115" s="18" t="inlineStr">
        <is>
          <t>%</t>
        </is>
      </c>
      <c r="F115" s="21" t="n"/>
      <c r="G115" s="19" t="n"/>
      <c r="H115" s="22" t="inlineStr">
        <is>
          <t>无明显好坏</t>
        </is>
      </c>
      <c r="I115" s="22" t="inlineStr">
        <is>
          <t>金鼎客户数 ÷ 零售客户数</t>
        </is>
      </c>
      <c r="J115" s="22" t="n"/>
      <c r="K115" s="23" t="inlineStr">
        <is>
          <t>目录中未找到</t>
        </is>
      </c>
      <c r="L115" s="24" t="n"/>
      <c r="M115" s="25" t="n"/>
      <c r="N115" s="21" t="inlineStr">
        <is>
          <t>金鼎客户数</t>
        </is>
      </c>
      <c r="O115" s="21" t="inlineStr">
        <is>
          <t>比率</t>
        </is>
      </c>
      <c r="P115" s="21" t="inlineStr">
        <is>
          <t>一览表</t>
        </is>
      </c>
    </row>
    <row r="116" outlineLevel="2">
      <c r="A116" s="30" t="inlineStr">
        <is>
          <t>钻鼎客户数</t>
        </is>
      </c>
      <c r="B116" s="18" t="inlineStr">
        <is>
          <t>指标</t>
        </is>
      </c>
      <c r="C116" s="19" t="inlineStr">
        <is>
          <t>加</t>
        </is>
      </c>
      <c r="D116" s="20" t="n">
        <v>7.22</v>
      </c>
      <c r="E116" s="18" t="inlineStr">
        <is>
          <t>万户</t>
        </is>
      </c>
      <c r="F116" s="21" t="n"/>
      <c r="G116" s="19" t="n"/>
      <c r="H116" s="22" t="inlineStr">
        <is>
          <t>越大越好</t>
        </is>
      </c>
      <c r="I116" s="22" t="n"/>
      <c r="J116" s="22" t="inlineStr">
        <is>
          <t>个人钻鼎客户数量</t>
        </is>
      </c>
      <c r="K116" s="32" t="inlineStr">
        <is>
          <t>近似，请核对</t>
        </is>
      </c>
      <c r="L116" s="24" t="n"/>
      <c r="M116" s="25" t="inlineStr">
        <is>
          <t>AUM 200万-600万元</t>
        </is>
      </c>
      <c r="N116" s="21" t="inlineStr">
        <is>
          <t>零售客户数</t>
        </is>
      </c>
      <c r="O116" s="21" t="inlineStr">
        <is>
          <t>按AUM分层</t>
        </is>
      </c>
      <c r="P116" s="21" t="inlineStr">
        <is>
          <t>一览表 2026年7月末（全省，亿元/万户）</t>
        </is>
      </c>
    </row>
    <row r="117" outlineLevel="3">
      <c r="A117" s="31" t="inlineStr">
        <is>
          <t>钻鼎客户占零售客户比</t>
        </is>
      </c>
      <c r="B117" s="18" t="inlineStr">
        <is>
          <t>比率</t>
        </is>
      </c>
      <c r="C117" s="19" t="n"/>
      <c r="D117" s="27" t="n">
        <v>0</v>
      </c>
      <c r="E117" s="18" t="inlineStr">
        <is>
          <t>%</t>
        </is>
      </c>
      <c r="F117" s="21" t="n"/>
      <c r="G117" s="19" t="n"/>
      <c r="H117" s="22" t="inlineStr">
        <is>
          <t>无明显好坏</t>
        </is>
      </c>
      <c r="I117" s="22" t="inlineStr">
        <is>
          <t>钻鼎客户数 ÷ 零售客户数</t>
        </is>
      </c>
      <c r="J117" s="22" t="n"/>
      <c r="K117" s="23" t="inlineStr">
        <is>
          <t>目录中未找到</t>
        </is>
      </c>
      <c r="L117" s="24" t="n"/>
      <c r="M117" s="25" t="n"/>
      <c r="N117" s="21" t="inlineStr">
        <is>
          <t>钻鼎客户数</t>
        </is>
      </c>
      <c r="O117" s="21" t="inlineStr">
        <is>
          <t>比率</t>
        </is>
      </c>
      <c r="P117" s="21" t="inlineStr">
        <is>
          <t>一览表</t>
        </is>
      </c>
    </row>
    <row r="118" outlineLevel="2">
      <c r="A118" s="30" t="inlineStr">
        <is>
          <t>尊鼎客户数</t>
        </is>
      </c>
      <c r="B118" s="18" t="inlineStr">
        <is>
          <t>指标</t>
        </is>
      </c>
      <c r="C118" s="19" t="inlineStr">
        <is>
          <t>加</t>
        </is>
      </c>
      <c r="D118" s="20" t="n">
        <v>1.08</v>
      </c>
      <c r="E118" s="18" t="inlineStr">
        <is>
          <t>万户</t>
        </is>
      </c>
      <c r="F118" s="21" t="n"/>
      <c r="G118" s="19" t="n"/>
      <c r="H118" s="22" t="inlineStr">
        <is>
          <t>越大越好</t>
        </is>
      </c>
      <c r="I118" s="22" t="n"/>
      <c r="J118" s="22" t="inlineStr">
        <is>
          <t>个人尊鼎客户数量</t>
        </is>
      </c>
      <c r="K118" s="32" t="inlineStr">
        <is>
          <t>近似，请核对</t>
        </is>
      </c>
      <c r="L118" s="24" t="n"/>
      <c r="M118" s="25" t="inlineStr">
        <is>
          <t>AUM 600万元及以上</t>
        </is>
      </c>
      <c r="N118" s="21" t="inlineStr">
        <is>
          <t>零售客户数</t>
        </is>
      </c>
      <c r="O118" s="21" t="inlineStr">
        <is>
          <t>按AUM分层</t>
        </is>
      </c>
      <c r="P118" s="21" t="inlineStr">
        <is>
          <t>一览表 2026年7月末（全省，亿元/万户）</t>
        </is>
      </c>
    </row>
    <row r="119" outlineLevel="3">
      <c r="A119" s="31" t="inlineStr">
        <is>
          <t>尊鼎客户占零售客户比</t>
        </is>
      </c>
      <c r="B119" s="18" t="inlineStr">
        <is>
          <t>比率</t>
        </is>
      </c>
      <c r="C119" s="19" t="n"/>
      <c r="D119" s="27" t="n">
        <v>0</v>
      </c>
      <c r="E119" s="18" t="inlineStr">
        <is>
          <t>%</t>
        </is>
      </c>
      <c r="F119" s="21" t="n"/>
      <c r="G119" s="19" t="n"/>
      <c r="H119" s="22" t="inlineStr">
        <is>
          <t>无明显好坏</t>
        </is>
      </c>
      <c r="I119" s="22" t="inlineStr">
        <is>
          <t>尊鼎客户数 ÷ 零售客户数</t>
        </is>
      </c>
      <c r="J119" s="22" t="n"/>
      <c r="K119" s="23" t="inlineStr">
        <is>
          <t>目录中未找到</t>
        </is>
      </c>
      <c r="L119" s="24" t="n"/>
      <c r="M119" s="25" t="n"/>
      <c r="N119" s="21" t="inlineStr">
        <is>
          <t>尊鼎客户数</t>
        </is>
      </c>
      <c r="O119" s="21" t="inlineStr">
        <is>
          <t>比率</t>
        </is>
      </c>
      <c r="P119" s="21" t="inlineStr">
        <is>
          <t>一览表</t>
        </is>
      </c>
    </row>
    <row r="120" outlineLevel="1">
      <c r="A120" s="17" t="inlineStr">
        <is>
          <t>代发客户数</t>
        </is>
      </c>
      <c r="B120" s="18" t="inlineStr">
        <is>
          <t>指标</t>
        </is>
      </c>
      <c r="C120" s="19" t="n"/>
      <c r="D120" s="20" t="n">
        <v>2854.97</v>
      </c>
      <c r="E120" s="18" t="inlineStr">
        <is>
          <t>万户</t>
        </is>
      </c>
      <c r="F120" s="21" t="n"/>
      <c r="G120" s="19" t="n"/>
      <c r="H120" s="22" t="inlineStr">
        <is>
          <t>越大越好</t>
        </is>
      </c>
      <c r="I120" s="22" t="n"/>
      <c r="J120" s="22" t="n"/>
      <c r="K120" s="23" t="inlineStr">
        <is>
          <t>目录中未找到</t>
        </is>
      </c>
      <c r="L120" s="24" t="n"/>
      <c r="M120" s="25" t="inlineStr">
        <is>
          <t>报表按同比展示</t>
        </is>
      </c>
      <c r="N120" s="21" t="n"/>
      <c r="O120" s="21" t="n"/>
      <c r="P120" s="21" t="inlineStr">
        <is>
          <t>一览表 2026年7月末（全省，亿元/万户）</t>
        </is>
      </c>
    </row>
    <row r="121" outlineLevel="1">
      <c r="A121" s="17" t="inlineStr">
        <is>
          <t>代发交易金额</t>
        </is>
      </c>
      <c r="B121" s="18" t="inlineStr">
        <is>
          <t>指标</t>
        </is>
      </c>
      <c r="C121" s="19" t="n"/>
      <c r="D121" s="20" t="n">
        <v>4004.63</v>
      </c>
      <c r="E121" s="18" t="inlineStr">
        <is>
          <t>亿元</t>
        </is>
      </c>
      <c r="F121" s="21" t="n"/>
      <c r="G121" s="19" t="n"/>
      <c r="H121" s="22" t="inlineStr">
        <is>
          <t>越大越好</t>
        </is>
      </c>
      <c r="I121" s="22" t="n"/>
      <c r="J121" s="22" t="n"/>
      <c r="K121" s="23" t="inlineStr">
        <is>
          <t>目录中未找到</t>
        </is>
      </c>
      <c r="L121" s="24" t="n"/>
      <c r="M121" s="25" t="inlineStr">
        <is>
          <t>报表按同比展示</t>
        </is>
      </c>
      <c r="N121" s="21" t="n"/>
      <c r="O121" s="21" t="n"/>
      <c r="P121" s="21" t="inlineStr">
        <is>
          <t>一览表 2026年7月末（全省，亿元/万户）</t>
        </is>
      </c>
    </row>
    <row r="122" ht="22" customHeight="1">
      <c r="A122" s="13" t="inlineStr">
        <is>
          <t>五、财富管理</t>
        </is>
      </c>
      <c r="B122" s="14" t="inlineStr">
        <is>
          <t>板块</t>
        </is>
      </c>
      <c r="C122" s="14" t="n"/>
      <c r="D122" s="15" t="n"/>
      <c r="E122" s="14" t="n"/>
      <c r="F122" s="16" t="n"/>
      <c r="G122" s="14" t="n"/>
      <c r="H122" s="16" t="n"/>
      <c r="I122" s="16" t="n"/>
      <c r="J122" s="16" t="n"/>
      <c r="K122" s="14" t="n"/>
      <c r="L122" s="14" t="n"/>
      <c r="M122" s="16" t="n"/>
      <c r="N122" s="16" t="n"/>
      <c r="O122" s="16" t="n"/>
      <c r="P122" s="16" t="n"/>
    </row>
    <row r="123" outlineLevel="1">
      <c r="A123" s="17" t="inlineStr">
        <is>
          <t>对私客户AUM余额</t>
        </is>
      </c>
      <c r="B123" s="18" t="inlineStr">
        <is>
          <t>指标</t>
        </is>
      </c>
      <c r="C123" s="19" t="n"/>
      <c r="D123" s="20" t="n">
        <v>35943.27</v>
      </c>
      <c r="E123" s="18" t="inlineStr">
        <is>
          <t>亿元</t>
        </is>
      </c>
      <c r="F123" s="21" t="n"/>
      <c r="G123" s="19" t="inlineStr">
        <is>
          <t>是</t>
        </is>
      </c>
      <c r="H123" s="22" t="inlineStr">
        <is>
          <t>越大越好</t>
        </is>
      </c>
      <c r="I123" s="22" t="n"/>
      <c r="J123" s="22" t="n"/>
      <c r="K123" s="23" t="inlineStr">
        <is>
          <t>目录中未找到</t>
        </is>
      </c>
      <c r="L123" s="24" t="n"/>
      <c r="M123" s="25" t="n"/>
      <c r="N123" s="21" t="n"/>
      <c r="O123" s="21" t="n"/>
      <c r="P123" s="21" t="inlineStr">
        <is>
          <t>一览表 2026年7月末（全省，亿元/万户）</t>
        </is>
      </c>
    </row>
    <row r="124" outlineLevel="1">
      <c r="A124" s="17" t="inlineStr">
        <is>
          <t>理财产品持仓余额</t>
        </is>
      </c>
      <c r="B124" s="18" t="inlineStr">
        <is>
          <t>指标</t>
        </is>
      </c>
      <c r="C124" s="19" t="n"/>
      <c r="D124" s="20" t="n">
        <v>2733.04</v>
      </c>
      <c r="E124" s="18" t="inlineStr">
        <is>
          <t>亿元</t>
        </is>
      </c>
      <c r="F124" s="21" t="n"/>
      <c r="G124" s="19" t="n"/>
      <c r="H124" s="22" t="inlineStr">
        <is>
          <t>越大越好</t>
        </is>
      </c>
      <c r="I124" s="22" t="n"/>
      <c r="J124" s="22" t="inlineStr">
        <is>
          <t>理财余额</t>
        </is>
      </c>
      <c r="K124" s="32" t="inlineStr">
        <is>
          <t>近似，请核对</t>
        </is>
      </c>
      <c r="L124" s="24" t="n"/>
      <c r="M124" s="25" t="n"/>
      <c r="N124" s="21" t="n"/>
      <c r="O124" s="21" t="n"/>
      <c r="P124" s="21" t="inlineStr">
        <is>
          <t>一览表 2026年7月末（全省，亿元/万户）</t>
        </is>
      </c>
    </row>
    <row r="125" outlineLevel="2">
      <c r="A125" s="29" t="inlineStr">
        <is>
          <t>〔按理财类型〕</t>
        </is>
      </c>
      <c r="B125" s="18" t="inlineStr">
        <is>
          <t>拆解方式</t>
        </is>
      </c>
      <c r="C125" s="18" t="n"/>
      <c r="D125" s="20" t="n"/>
      <c r="E125" s="18" t="n"/>
      <c r="F125" s="21">
        <f>IF((COUNTIFS($N$3:$N$337,N125,$O$3:$O$337,O125,$C$3:$C$337,"加")+COUNTIFS($N$3:$N$337,N125,$O$3:$O$337,O125,$C$3:$C$337,"减"))=0,"其中项，不参与加总",IF(ISNUMBER(D124)=FALSE,"上级无数值，无法校验",IF(SUMPRODUCT(($N$3:$N$337=N125)*($O$3:$O$337=O125)*(($C$3:$C$337="加")+($C$3:$C$337="减"))*(ISNUMBER($D$3:$D$337)=FALSE))&gt;0,"部分下级无数值，无法校验",IF(ABS(D124-(SUMIFS($D$3:$D$337,$N$3:$N$337,N125,$O$3:$O$337,O125,$C$3:$C$337,"加")-SUMIFS($D$3:$D$337,$N$3:$N$337,N125,$O$3:$O$337,O125,$C$3:$C$337,"减")))&lt;=MAX(0.05,ABS(D124)*0.0005),"✓ 合计与上级一致","✗ 合计与上级相差 "&amp;TEXT(D124-(SUMIFS($D$3:$D$337,$N$3:$N$337,N125,$O$3:$O$337,O125,$C$3:$C$337,"加")-SUMIFS($D$3:$D$337,$N$3:$N$337,N125,$O$3:$O$337,O125,$C$3:$C$337,"减")),"#,##0.00")))))</f>
        <v/>
      </c>
      <c r="G125" s="18" t="n"/>
      <c r="H125" s="21" t="n"/>
      <c r="I125" s="21" t="n"/>
      <c r="J125" s="21" t="n"/>
      <c r="K125" s="18" t="n"/>
      <c r="L125" s="18" t="n"/>
      <c r="M125" s="21" t="n"/>
      <c r="N125" s="21" t="inlineStr">
        <is>
          <t>理财产品持仓余额</t>
        </is>
      </c>
      <c r="O125" s="21" t="inlineStr">
        <is>
          <t>按理财类型</t>
        </is>
      </c>
      <c r="P125" s="21" t="n"/>
    </row>
    <row r="126" outlineLevel="2">
      <c r="A126" s="30" t="inlineStr">
        <is>
          <t>自营理财持仓余额</t>
        </is>
      </c>
      <c r="B126" s="18" t="inlineStr">
        <is>
          <t>指标</t>
        </is>
      </c>
      <c r="C126" s="19" t="inlineStr">
        <is>
          <t>加</t>
        </is>
      </c>
      <c r="D126" s="20" t="n">
        <v>1263.83</v>
      </c>
      <c r="E126" s="18" t="inlineStr">
        <is>
          <t>亿元</t>
        </is>
      </c>
      <c r="F126" s="21" t="n"/>
      <c r="G126" s="19" t="n"/>
      <c r="H126" s="22" t="inlineStr">
        <is>
          <t>越大越好</t>
        </is>
      </c>
      <c r="I126" s="22" t="n"/>
      <c r="J126" s="22" t="inlineStr">
        <is>
          <t>自营理财余额</t>
        </is>
      </c>
      <c r="K126" s="32" t="inlineStr">
        <is>
          <t>近似，请核对</t>
        </is>
      </c>
      <c r="L126" s="24" t="n"/>
      <c r="M126" s="25" t="n"/>
      <c r="N126" s="21" t="inlineStr">
        <is>
          <t>理财产品持仓余额</t>
        </is>
      </c>
      <c r="O126" s="21" t="inlineStr">
        <is>
          <t>按理财类型</t>
        </is>
      </c>
      <c r="P126" s="21" t="inlineStr">
        <is>
          <t>一览表 2026年7月末（全省，亿元/万户）</t>
        </is>
      </c>
    </row>
    <row r="127" outlineLevel="2">
      <c r="A127" s="30" t="inlineStr">
        <is>
          <t>代销理财持仓余额</t>
        </is>
      </c>
      <c r="B127" s="18" t="inlineStr">
        <is>
          <t>指标</t>
        </is>
      </c>
      <c r="C127" s="19" t="inlineStr">
        <is>
          <t>加</t>
        </is>
      </c>
      <c r="D127" s="20" t="n">
        <v>1469.21</v>
      </c>
      <c r="E127" s="18" t="inlineStr">
        <is>
          <t>亿元</t>
        </is>
      </c>
      <c r="F127" s="21" t="n"/>
      <c r="G127" s="19" t="n"/>
      <c r="H127" s="22" t="inlineStr">
        <is>
          <t>越大越好</t>
        </is>
      </c>
      <c r="I127" s="22" t="n"/>
      <c r="J127" s="22" t="inlineStr">
        <is>
          <t>代销理财余额</t>
        </is>
      </c>
      <c r="K127" s="32" t="inlineStr">
        <is>
          <t>近似，请核对</t>
        </is>
      </c>
      <c r="L127" s="24" t="n"/>
      <c r="M127" s="25" t="n"/>
      <c r="N127" s="21" t="inlineStr">
        <is>
          <t>理财产品持仓余额</t>
        </is>
      </c>
      <c r="O127" s="21" t="inlineStr">
        <is>
          <t>按理财类型</t>
        </is>
      </c>
      <c r="P127" s="21" t="inlineStr">
        <is>
          <t>一览表 2026年7月末（全省，亿元/万户）</t>
        </is>
      </c>
    </row>
    <row r="128" outlineLevel="1">
      <c r="A128" s="17" t="inlineStr">
        <is>
          <t>代销业务规模</t>
        </is>
      </c>
      <c r="B128" s="18" t="inlineStr">
        <is>
          <t>指标</t>
        </is>
      </c>
      <c r="C128" s="19" t="n"/>
      <c r="D128" s="20" t="n">
        <v>1852.15</v>
      </c>
      <c r="E128" s="18" t="inlineStr">
        <is>
          <t>亿元</t>
        </is>
      </c>
      <c r="F128" s="21" t="n"/>
      <c r="G128" s="19" t="n"/>
      <c r="H128" s="22" t="inlineStr">
        <is>
          <t>越大越好</t>
        </is>
      </c>
      <c r="I128" s="22" t="n"/>
      <c r="J128" s="22" t="inlineStr">
        <is>
          <t>代销业务规模</t>
        </is>
      </c>
      <c r="K128" s="28" t="inlineStr">
        <is>
          <t>完全一致</t>
        </is>
      </c>
      <c r="L128" s="24" t="n"/>
      <c r="M128" s="25" t="n"/>
      <c r="N128" s="21" t="n"/>
      <c r="O128" s="21" t="n"/>
      <c r="P128" s="21" t="inlineStr">
        <is>
          <t>一览表 2026年7月末（全省，亿元/万户）</t>
        </is>
      </c>
    </row>
    <row r="129" outlineLevel="2">
      <c r="A129" s="29" t="inlineStr">
        <is>
          <t>〔按代销产品〕</t>
        </is>
      </c>
      <c r="B129" s="18" t="inlineStr">
        <is>
          <t>拆解方式</t>
        </is>
      </c>
      <c r="C129" s="18" t="n"/>
      <c r="D129" s="20" t="n"/>
      <c r="E129" s="18" t="n"/>
      <c r="F129" s="21">
        <f>IF((COUNTIFS($N$3:$N$337,N129,$O$3:$O$337,O129,$C$3:$C$337,"加")+COUNTIFS($N$3:$N$337,N129,$O$3:$O$337,O129,$C$3:$C$337,"减"))=0,"其中项，不参与加总",IF(ISNUMBER(D128)=FALSE,"上级无数值，无法校验",IF(SUMPRODUCT(($N$3:$N$337=N129)*($O$3:$O$337=O129)*(($C$3:$C$337="加")+($C$3:$C$337="减"))*(ISNUMBER($D$3:$D$337)=FALSE))&gt;0,"部分下级无数值，无法校验",IF(ABS(D128-(SUMIFS($D$3:$D$337,$N$3:$N$337,N129,$O$3:$O$337,O129,$C$3:$C$337,"加")-SUMIFS($D$3:$D$337,$N$3:$N$337,N129,$O$3:$O$337,O129,$C$3:$C$337,"减")))&lt;=MAX(0.05,ABS(D128)*0.0005),"✓ 合计与上级一致","✗ 合计与上级相差 "&amp;TEXT(D128-(SUMIFS($D$3:$D$337,$N$3:$N$337,N129,$O$3:$O$337,O129,$C$3:$C$337,"加")-SUMIFS($D$3:$D$337,$N$3:$N$337,N129,$O$3:$O$337,O129,$C$3:$C$337,"减")),"#,##0.00")))))</f>
        <v/>
      </c>
      <c r="G129" s="18" t="n"/>
      <c r="H129" s="21" t="n"/>
      <c r="I129" s="21" t="n"/>
      <c r="J129" s="21" t="n"/>
      <c r="K129" s="18" t="n"/>
      <c r="L129" s="18" t="n"/>
      <c r="M129" s="21" t="inlineStr">
        <is>
          <t>代销理财持仓余额同时属于“理财产品持仓余额”和“代销业务规模”</t>
        </is>
      </c>
      <c r="N129" s="21" t="inlineStr">
        <is>
          <t>代销业务规模</t>
        </is>
      </c>
      <c r="O129" s="21" t="inlineStr">
        <is>
          <t>按代销产品</t>
        </is>
      </c>
      <c r="P129" s="21" t="n"/>
    </row>
    <row r="130" outlineLevel="2">
      <c r="A130" s="39" t="inlineStr">
        <is>
          <t>↪ 代销理财持仓余额</t>
        </is>
      </c>
      <c r="B130" s="18" t="inlineStr">
        <is>
          <t>引用</t>
        </is>
      </c>
      <c r="C130" s="19" t="inlineStr">
        <is>
          <t>加</t>
        </is>
      </c>
      <c r="D130" s="20" t="n">
        <v>1469.21</v>
      </c>
      <c r="E130" s="18" t="inlineStr">
        <is>
          <t>亿元</t>
        </is>
      </c>
      <c r="F130" s="21" t="n"/>
      <c r="G130" s="19" t="n"/>
      <c r="H130" s="22" t="n"/>
      <c r="I130" s="22" t="n"/>
      <c r="J130" s="22" t="n"/>
      <c r="K130" s="18" t="n"/>
      <c r="L130" s="24" t="n"/>
      <c r="M130" s="25" t="inlineStr">
        <is>
          <t>展开见：理财产品持仓余额 › 代销理财持仓余额</t>
        </is>
      </c>
      <c r="N130" s="21" t="inlineStr">
        <is>
          <t>代销业务规模</t>
        </is>
      </c>
      <c r="O130" s="21" t="inlineStr">
        <is>
          <t>按代销产品</t>
        </is>
      </c>
      <c r="P130" s="21" t="inlineStr">
        <is>
          <t>一览表 2026年7月末（全省，亿元/万户）</t>
        </is>
      </c>
    </row>
    <row r="131" outlineLevel="2">
      <c r="A131" s="30" t="inlineStr">
        <is>
          <t>信托产品余额</t>
        </is>
      </c>
      <c r="B131" s="18" t="inlineStr">
        <is>
          <t>指标</t>
        </is>
      </c>
      <c r="C131" s="19" t="inlineStr">
        <is>
          <t>加</t>
        </is>
      </c>
      <c r="D131" s="20" t="n">
        <v>309.07</v>
      </c>
      <c r="E131" s="18" t="inlineStr">
        <is>
          <t>亿元</t>
        </is>
      </c>
      <c r="F131" s="21" t="n"/>
      <c r="G131" s="19" t="n"/>
      <c r="H131" s="22" t="inlineStr">
        <is>
          <t>越大越好</t>
        </is>
      </c>
      <c r="I131" s="22" t="n"/>
      <c r="J131" s="22" t="inlineStr">
        <is>
          <t>信托余额</t>
        </is>
      </c>
      <c r="K131" s="32" t="inlineStr">
        <is>
          <t>近似，请核对</t>
        </is>
      </c>
      <c r="L131" s="24" t="n"/>
      <c r="M131" s="25" t="n"/>
      <c r="N131" s="21" t="inlineStr">
        <is>
          <t>代销业务规模</t>
        </is>
      </c>
      <c r="O131" s="21" t="inlineStr">
        <is>
          <t>按代销产品</t>
        </is>
      </c>
      <c r="P131" s="21" t="inlineStr">
        <is>
          <t>一览表 2026年7月末（全省，亿元/万户）</t>
        </is>
      </c>
    </row>
    <row r="132" outlineLevel="2">
      <c r="A132" s="30" t="inlineStr">
        <is>
          <t>基金余额</t>
        </is>
      </c>
      <c r="B132" s="18" t="inlineStr">
        <is>
          <t>指标</t>
        </is>
      </c>
      <c r="C132" s="19" t="inlineStr">
        <is>
          <t>加</t>
        </is>
      </c>
      <c r="D132" s="20" t="n">
        <v>15.3</v>
      </c>
      <c r="E132" s="18" t="inlineStr">
        <is>
          <t>亿元</t>
        </is>
      </c>
      <c r="F132" s="21" t="n"/>
      <c r="G132" s="19" t="n"/>
      <c r="H132" s="22" t="inlineStr">
        <is>
          <t>越大越好</t>
        </is>
      </c>
      <c r="I132" s="22" t="n"/>
      <c r="J132" s="22" t="inlineStr">
        <is>
          <t>基金余额</t>
        </is>
      </c>
      <c r="K132" s="28" t="inlineStr">
        <is>
          <t>完全一致</t>
        </is>
      </c>
      <c r="L132" s="24" t="n"/>
      <c r="M132" s="25" t="n"/>
      <c r="N132" s="21" t="inlineStr">
        <is>
          <t>代销业务规模</t>
        </is>
      </c>
      <c r="O132" s="21" t="inlineStr">
        <is>
          <t>按代销产品</t>
        </is>
      </c>
      <c r="P132" s="21" t="inlineStr">
        <is>
          <t>一览表 2026年7月末（全省，亿元/万户）</t>
        </is>
      </c>
    </row>
    <row r="133" outlineLevel="2">
      <c r="A133" s="30" t="inlineStr">
        <is>
          <t>积存金余额</t>
        </is>
      </c>
      <c r="B133" s="18" t="inlineStr">
        <is>
          <t>指标</t>
        </is>
      </c>
      <c r="C133" s="19" t="inlineStr">
        <is>
          <t>加</t>
        </is>
      </c>
      <c r="D133" s="20" t="n">
        <v>5.58</v>
      </c>
      <c r="E133" s="18" t="inlineStr">
        <is>
          <t>亿元</t>
        </is>
      </c>
      <c r="F133" s="21" t="n"/>
      <c r="G133" s="19" t="n"/>
      <c r="H133" s="22" t="inlineStr">
        <is>
          <t>越大越好</t>
        </is>
      </c>
      <c r="I133" s="22" t="n"/>
      <c r="J133" s="22" t="inlineStr">
        <is>
          <t>积存金余额</t>
        </is>
      </c>
      <c r="K133" s="28" t="inlineStr">
        <is>
          <t>完全一致</t>
        </is>
      </c>
      <c r="L133" s="24" t="n"/>
      <c r="M133" s="25" t="n"/>
      <c r="N133" s="21" t="inlineStr">
        <is>
          <t>代销业务规模</t>
        </is>
      </c>
      <c r="O133" s="21" t="inlineStr">
        <is>
          <t>按代销产品</t>
        </is>
      </c>
      <c r="P133" s="21" t="inlineStr">
        <is>
          <t>一览表 2026年7月末（全省，亿元/万户）</t>
        </is>
      </c>
    </row>
    <row r="134" outlineLevel="2">
      <c r="A134" s="30" t="inlineStr">
        <is>
          <t>代理保险销售金额</t>
        </is>
      </c>
      <c r="B134" s="18" t="inlineStr">
        <is>
          <t>指标</t>
        </is>
      </c>
      <c r="C134" s="19" t="inlineStr">
        <is>
          <t>加</t>
        </is>
      </c>
      <c r="D134" s="20" t="n">
        <v>34.62</v>
      </c>
      <c r="E134" s="18" t="inlineStr">
        <is>
          <t>亿元</t>
        </is>
      </c>
      <c r="F134" s="21" t="n"/>
      <c r="G134" s="19" t="n"/>
      <c r="H134" s="22" t="inlineStr">
        <is>
          <t>越大越好</t>
        </is>
      </c>
      <c r="I134" s="22" t="n"/>
      <c r="J134" s="22" t="inlineStr">
        <is>
          <t>当年保险销售金额</t>
        </is>
      </c>
      <c r="K134" s="32" t="inlineStr">
        <is>
          <t>近似，请核对</t>
        </is>
      </c>
      <c r="L134" s="24" t="n"/>
      <c r="M134" s="25" t="n"/>
      <c r="N134" s="21" t="inlineStr">
        <is>
          <t>代销业务规模</t>
        </is>
      </c>
      <c r="O134" s="21" t="inlineStr">
        <is>
          <t>按代销产品</t>
        </is>
      </c>
      <c r="P134" s="21" t="inlineStr">
        <is>
          <t>一览表 2026年7月末（全省，亿元/万户）</t>
        </is>
      </c>
    </row>
    <row r="135" outlineLevel="2">
      <c r="A135" s="30" t="inlineStr">
        <is>
          <t>代理贵金属销售金额</t>
        </is>
      </c>
      <c r="B135" s="18" t="inlineStr">
        <is>
          <t>指标</t>
        </is>
      </c>
      <c r="C135" s="19" t="inlineStr">
        <is>
          <t>加</t>
        </is>
      </c>
      <c r="D135" s="20" t="n">
        <v>18.37</v>
      </c>
      <c r="E135" s="18" t="inlineStr">
        <is>
          <t>亿元</t>
        </is>
      </c>
      <c r="F135" s="21" t="n"/>
      <c r="G135" s="19" t="n"/>
      <c r="H135" s="22" t="inlineStr">
        <is>
          <t>越大越好</t>
        </is>
      </c>
      <c r="I135" s="22" t="n"/>
      <c r="J135" s="22" t="inlineStr">
        <is>
          <t>贵金属销售金额；个人贵金属销售金额</t>
        </is>
      </c>
      <c r="K135" s="32" t="inlineStr">
        <is>
          <t>近似，请核对</t>
        </is>
      </c>
      <c r="L135" s="24" t="n"/>
      <c r="M135" s="25" t="n"/>
      <c r="N135" s="21" t="inlineStr">
        <is>
          <t>代销业务规模</t>
        </is>
      </c>
      <c r="O135" s="21" t="inlineStr">
        <is>
          <t>按代销产品</t>
        </is>
      </c>
      <c r="P135" s="21" t="inlineStr">
        <is>
          <t>一览表 2026年7月末（全省，亿元/万户）</t>
        </is>
      </c>
    </row>
    <row r="136" ht="22" customHeight="1">
      <c r="A136" s="13" t="inlineStr">
        <is>
          <t>六、金融市场</t>
        </is>
      </c>
      <c r="B136" s="14" t="inlineStr">
        <is>
          <t>板块</t>
        </is>
      </c>
      <c r="C136" s="14" t="n"/>
      <c r="D136" s="15" t="n"/>
      <c r="E136" s="14" t="n"/>
      <c r="F136" s="16" t="n"/>
      <c r="G136" s="14" t="n"/>
      <c r="H136" s="16" t="n"/>
      <c r="I136" s="16" t="n"/>
      <c r="J136" s="16" t="n"/>
      <c r="K136" s="14" t="n"/>
      <c r="L136" s="14" t="n"/>
      <c r="M136" s="16" t="n"/>
      <c r="N136" s="16" t="n"/>
      <c r="O136" s="16" t="n"/>
      <c r="P136" s="16" t="n"/>
    </row>
    <row r="137" outlineLevel="1">
      <c r="A137" s="17" t="inlineStr">
        <is>
          <t>资金业务总资产</t>
        </is>
      </c>
      <c r="B137" s="18" t="inlineStr">
        <is>
          <t>指标</t>
        </is>
      </c>
      <c r="C137" s="19" t="n"/>
      <c r="D137" s="20" t="n">
        <v>17137.27</v>
      </c>
      <c r="E137" s="18" t="inlineStr">
        <is>
          <t>亿元</t>
        </is>
      </c>
      <c r="F137" s="21" t="n"/>
      <c r="G137" s="19" t="inlineStr">
        <is>
          <t>是</t>
        </is>
      </c>
      <c r="H137" s="22" t="inlineStr">
        <is>
          <t>越大越好</t>
        </is>
      </c>
      <c r="I137" s="22" t="n"/>
      <c r="J137" s="22" t="n"/>
      <c r="K137" s="23" t="inlineStr">
        <is>
          <t>目录中未找到</t>
        </is>
      </c>
      <c r="L137" s="24" t="n"/>
      <c r="M137" s="25" t="n"/>
      <c r="N137" s="21" t="n"/>
      <c r="O137" s="21" t="n"/>
      <c r="P137" s="21" t="inlineStr">
        <is>
          <t>一览表 2026年7月末（全省，亿元/万户）</t>
        </is>
      </c>
    </row>
    <row r="138" outlineLevel="2">
      <c r="A138" s="29" t="inlineStr">
        <is>
          <t>〔其中项〕</t>
        </is>
      </c>
      <c r="B138" s="18" t="inlineStr">
        <is>
          <t>拆解方式</t>
        </is>
      </c>
      <c r="C138" s="18" t="n"/>
      <c r="D138" s="20" t="n"/>
      <c r="E138" s="18" t="n"/>
      <c r="F138" s="21">
        <f>IF((COUNTIFS($N$3:$N$337,N138,$O$3:$O$337,O138,$C$3:$C$337,"加")+COUNTIFS($N$3:$N$337,N138,$O$3:$O$337,O138,$C$3:$C$337,"减"))=0,"其中项，不参与加总",IF(ISNUMBER(D137)=FALSE,"上级无数值，无法校验",IF(SUMPRODUCT(($N$3:$N$337=N138)*($O$3:$O$337=O138)*(($C$3:$C$337="加")+($C$3:$C$337="减"))*(ISNUMBER($D$3:$D$337)=FALSE))&gt;0,"部分下级无数值，无法校验",IF(ABS(D137-(SUMIFS($D$3:$D$337,$N$3:$N$337,N138,$O$3:$O$337,O138,$C$3:$C$337,"加")-SUMIFS($D$3:$D$337,$N$3:$N$337,N138,$O$3:$O$337,O138,$C$3:$C$337,"减")))&lt;=MAX(0.05,ABS(D137)*0.0005),"✓ 合计与上级一致","✗ 合计与上级相差 "&amp;TEXT(D137-(SUMIFS($D$3:$D$337,$N$3:$N$337,N138,$O$3:$O$337,O138,$C$3:$C$337,"加")-SUMIFS($D$3:$D$337,$N$3:$N$337,N138,$O$3:$O$337,O138,$C$3:$C$337,"减")),"#,##0.00")))))</f>
        <v/>
      </c>
      <c r="G138" s="18" t="n"/>
      <c r="H138" s="21" t="n"/>
      <c r="I138" s="21" t="n"/>
      <c r="J138" s="21" t="n"/>
      <c r="K138" s="18" t="n"/>
      <c r="L138" s="18" t="n"/>
      <c r="M138" s="21" t="inlineStr">
        <is>
          <t>报表编号为“2.1/2.2”（列在总负债下），按数值判断应属于总资产，请确认</t>
        </is>
      </c>
      <c r="N138" s="21" t="inlineStr">
        <is>
          <t>资金业务总资产</t>
        </is>
      </c>
      <c r="O138" s="21" t="inlineStr">
        <is>
          <t>其中项</t>
        </is>
      </c>
      <c r="P138" s="21" t="n"/>
    </row>
    <row r="139" outlineLevel="2">
      <c r="A139" s="30" t="inlineStr">
        <is>
          <t>自营债券投资余额</t>
        </is>
      </c>
      <c r="B139" s="18" t="inlineStr">
        <is>
          <t>指标</t>
        </is>
      </c>
      <c r="C139" s="19" t="inlineStr">
        <is>
          <t>其中</t>
        </is>
      </c>
      <c r="D139" s="20" t="n">
        <v>13002.27</v>
      </c>
      <c r="E139" s="18" t="inlineStr">
        <is>
          <t>亿元</t>
        </is>
      </c>
      <c r="F139" s="21" t="n"/>
      <c r="G139" s="19" t="n"/>
      <c r="H139" s="22" t="inlineStr">
        <is>
          <t>无明显好坏</t>
        </is>
      </c>
      <c r="I139" s="22" t="n"/>
      <c r="J139" s="22" t="n"/>
      <c r="K139" s="23" t="inlineStr">
        <is>
          <t>目录中未找到</t>
        </is>
      </c>
      <c r="L139" s="24" t="n"/>
      <c r="M139" s="25" t="n"/>
      <c r="N139" s="21" t="inlineStr">
        <is>
          <t>资金业务总资产</t>
        </is>
      </c>
      <c r="O139" s="21" t="inlineStr">
        <is>
          <t>其中项</t>
        </is>
      </c>
      <c r="P139" s="21" t="inlineStr">
        <is>
          <t>一览表 2026年7月末（全省，亿元/万户）</t>
        </is>
      </c>
    </row>
    <row r="140" outlineLevel="2">
      <c r="A140" s="30" t="inlineStr">
        <is>
          <t>同业投资余额</t>
        </is>
      </c>
      <c r="B140" s="18" t="inlineStr">
        <is>
          <t>指标</t>
        </is>
      </c>
      <c r="C140" s="19" t="inlineStr">
        <is>
          <t>其中</t>
        </is>
      </c>
      <c r="D140" s="20" t="n">
        <v>625.83</v>
      </c>
      <c r="E140" s="18" t="inlineStr">
        <is>
          <t>亿元</t>
        </is>
      </c>
      <c r="F140" s="21" t="n"/>
      <c r="G140" s="19" t="n"/>
      <c r="H140" s="22" t="inlineStr">
        <is>
          <t>无明显好坏</t>
        </is>
      </c>
      <c r="I140" s="22" t="n"/>
      <c r="J140" s="22" t="n"/>
      <c r="K140" s="23" t="inlineStr">
        <is>
          <t>目录中未找到</t>
        </is>
      </c>
      <c r="L140" s="24" t="n"/>
      <c r="M140" s="25" t="n"/>
      <c r="N140" s="21" t="inlineStr">
        <is>
          <t>资金业务总资产</t>
        </is>
      </c>
      <c r="O140" s="21" t="inlineStr">
        <is>
          <t>其中项</t>
        </is>
      </c>
      <c r="P140" s="21" t="inlineStr">
        <is>
          <t>一览表 2026年7月末（全省，亿元/万户）</t>
        </is>
      </c>
    </row>
    <row r="141" outlineLevel="1">
      <c r="A141" s="17" t="inlineStr">
        <is>
          <t>资金业务总负债</t>
        </is>
      </c>
      <c r="B141" s="18" t="inlineStr">
        <is>
          <t>指标</t>
        </is>
      </c>
      <c r="C141" s="19" t="n"/>
      <c r="D141" s="20" t="n">
        <v>4645.06</v>
      </c>
      <c r="E141" s="18" t="inlineStr">
        <is>
          <t>亿元</t>
        </is>
      </c>
      <c r="F141" s="21" t="n"/>
      <c r="G141" s="19" t="n"/>
      <c r="H141" s="22" t="inlineStr">
        <is>
          <t>无明显好坏</t>
        </is>
      </c>
      <c r="I141" s="22" t="n"/>
      <c r="J141" s="22" t="n"/>
      <c r="K141" s="23" t="inlineStr">
        <is>
          <t>目录中未找到</t>
        </is>
      </c>
      <c r="L141" s="24" t="n"/>
      <c r="M141" s="25" t="n"/>
      <c r="N141" s="21" t="n"/>
      <c r="O141" s="21" t="n"/>
      <c r="P141" s="21" t="inlineStr">
        <is>
          <t>一览表 2026年7月末（全省，亿元/万户）</t>
        </is>
      </c>
    </row>
    <row r="142" outlineLevel="1">
      <c r="A142" s="17" t="inlineStr">
        <is>
          <t>资金业务总资产年化收益率</t>
        </is>
      </c>
      <c r="B142" s="18" t="inlineStr">
        <is>
          <t>指标</t>
        </is>
      </c>
      <c r="C142" s="19" t="n"/>
      <c r="D142" s="27" t="n">
        <v>0.03</v>
      </c>
      <c r="E142" s="18" t="inlineStr">
        <is>
          <t>%</t>
        </is>
      </c>
      <c r="F142" s="21" t="n"/>
      <c r="G142" s="19" t="n"/>
      <c r="H142" s="22" t="inlineStr">
        <is>
          <t>越大越好</t>
        </is>
      </c>
      <c r="I142" s="22" t="n"/>
      <c r="J142" s="22" t="n"/>
      <c r="K142" s="23" t="inlineStr">
        <is>
          <t>目录中未找到</t>
        </is>
      </c>
      <c r="L142" s="24" t="n"/>
      <c r="M142" s="25" t="inlineStr">
        <is>
          <t>报表按同比展示</t>
        </is>
      </c>
      <c r="N142" s="21" t="n"/>
      <c r="O142" s="21" t="n"/>
      <c r="P142" s="21" t="inlineStr">
        <is>
          <t>一览表 2026年7月末（全省，亿元/万户）</t>
        </is>
      </c>
    </row>
    <row r="143" outlineLevel="1">
      <c r="A143" s="17" t="inlineStr">
        <is>
          <t>资金业务净资产年化收益率</t>
        </is>
      </c>
      <c r="B143" s="18" t="inlineStr">
        <is>
          <t>指标</t>
        </is>
      </c>
      <c r="C143" s="19" t="n"/>
      <c r="D143" s="27" t="n">
        <v>0.04</v>
      </c>
      <c r="E143" s="18" t="inlineStr">
        <is>
          <t>%</t>
        </is>
      </c>
      <c r="F143" s="21" t="n"/>
      <c r="G143" s="19" t="n"/>
      <c r="H143" s="22" t="inlineStr">
        <is>
          <t>越大越好</t>
        </is>
      </c>
      <c r="I143" s="22" t="n"/>
      <c r="J143" s="22" t="n"/>
      <c r="K143" s="23" t="inlineStr">
        <is>
          <t>目录中未找到</t>
        </is>
      </c>
      <c r="L143" s="24" t="n"/>
      <c r="M143" s="25" t="inlineStr">
        <is>
          <t>报表按同比展示</t>
        </is>
      </c>
      <c r="N143" s="21" t="n"/>
      <c r="O143" s="21" t="n"/>
      <c r="P143" s="21" t="inlineStr">
        <is>
          <t>一览表 2026年7月末（全省，亿元/万户）</t>
        </is>
      </c>
    </row>
    <row r="144" outlineLevel="1">
      <c r="A144" s="17" t="inlineStr">
        <is>
          <t>投资买卖价差</t>
        </is>
      </c>
      <c r="B144" s="18" t="inlineStr">
        <is>
          <t>指标</t>
        </is>
      </c>
      <c r="C144" s="19" t="n"/>
      <c r="D144" s="20" t="n">
        <v>97.29000000000001</v>
      </c>
      <c r="E144" s="18" t="inlineStr">
        <is>
          <t>亿元</t>
        </is>
      </c>
      <c r="F144" s="21" t="n"/>
      <c r="G144" s="19" t="n"/>
      <c r="H144" s="22" t="inlineStr">
        <is>
          <t>越大越好</t>
        </is>
      </c>
      <c r="I144" s="22" t="n"/>
      <c r="J144" s="22" t="n"/>
      <c r="K144" s="23" t="inlineStr">
        <is>
          <t>目录中未找到</t>
        </is>
      </c>
      <c r="L144" s="24" t="n"/>
      <c r="M144" s="25" t="inlineStr">
        <is>
          <t>报表按同比展示</t>
        </is>
      </c>
      <c r="N144" s="21" t="n"/>
      <c r="O144" s="21" t="n"/>
      <c r="P144" s="21" t="inlineStr">
        <is>
          <t>一览表 2026年7月末（全省，亿元/万户）</t>
        </is>
      </c>
    </row>
    <row r="145" outlineLevel="1">
      <c r="A145" s="17" t="inlineStr">
        <is>
          <t>风险资产占比</t>
        </is>
      </c>
      <c r="B145" s="18" t="inlineStr">
        <is>
          <t>指标</t>
        </is>
      </c>
      <c r="C145" s="19" t="n"/>
      <c r="D145" s="27" t="n">
        <v>0</v>
      </c>
      <c r="E145" s="18" t="inlineStr">
        <is>
          <t>%</t>
        </is>
      </c>
      <c r="F145" s="21" t="n"/>
      <c r="G145" s="19" t="n"/>
      <c r="H145" s="22" t="inlineStr">
        <is>
          <t>越小越好</t>
        </is>
      </c>
      <c r="I145" s="22" t="n"/>
      <c r="J145" s="22" t="n"/>
      <c r="K145" s="23" t="inlineStr">
        <is>
          <t>目录中未找到</t>
        </is>
      </c>
      <c r="L145" s="24" t="n"/>
      <c r="M145" s="25" t="n"/>
      <c r="N145" s="21" t="n"/>
      <c r="O145" s="21" t="n"/>
      <c r="P145" s="21" t="inlineStr">
        <is>
          <t>一览表 2026年7月末（全省，亿元/万户）</t>
        </is>
      </c>
    </row>
    <row r="146" outlineLevel="1">
      <c r="A146" s="17" t="inlineStr">
        <is>
          <t>资金杠杆倍数</t>
        </is>
      </c>
      <c r="B146" s="18" t="inlineStr">
        <is>
          <t>指标</t>
        </is>
      </c>
      <c r="C146" s="19" t="n"/>
      <c r="D146" s="20" t="n">
        <v>1.31</v>
      </c>
      <c r="E146" s="18" t="inlineStr">
        <is>
          <t>倍</t>
        </is>
      </c>
      <c r="F146" s="21" t="n"/>
      <c r="G146" s="19" t="n"/>
      <c r="H146" s="22" t="inlineStr">
        <is>
          <t>无明显好坏</t>
        </is>
      </c>
      <c r="I146" s="22" t="n"/>
      <c r="J146" s="22" t="n"/>
      <c r="K146" s="23" t="inlineStr">
        <is>
          <t>目录中未找到</t>
        </is>
      </c>
      <c r="L146" s="24" t="n"/>
      <c r="M146" s="25" t="n"/>
      <c r="N146" s="21" t="n"/>
      <c r="O146" s="21" t="n"/>
      <c r="P146" s="21" t="inlineStr">
        <is>
          <t>一览表 2026年7月末（全省，亿元/万户）</t>
        </is>
      </c>
    </row>
    <row r="147" outlineLevel="1">
      <c r="A147" s="17" t="inlineStr">
        <is>
          <t>债券久期</t>
        </is>
      </c>
      <c r="B147" s="18" t="inlineStr">
        <is>
          <t>指标</t>
        </is>
      </c>
      <c r="C147" s="19" t="n"/>
      <c r="D147" s="20" t="n">
        <v>5.67</v>
      </c>
      <c r="E147" s="18" t="inlineStr">
        <is>
          <t>年</t>
        </is>
      </c>
      <c r="F147" s="21" t="n"/>
      <c r="G147" s="19" t="n"/>
      <c r="H147" s="22" t="inlineStr">
        <is>
          <t>无明显好坏</t>
        </is>
      </c>
      <c r="I147" s="22" t="n"/>
      <c r="J147" s="22" t="n"/>
      <c r="K147" s="23" t="inlineStr">
        <is>
          <t>目录中未找到</t>
        </is>
      </c>
      <c r="L147" s="24" t="n"/>
      <c r="M147" s="25" t="n"/>
      <c r="N147" s="21" t="n"/>
      <c r="O147" s="21" t="n"/>
      <c r="P147" s="21" t="inlineStr">
        <is>
          <t>一览表 2026年7月末（全省，亿元/万户）</t>
        </is>
      </c>
    </row>
    <row r="148" outlineLevel="1">
      <c r="A148" s="17" t="inlineStr">
        <is>
          <t>违约资产</t>
        </is>
      </c>
      <c r="B148" s="18" t="inlineStr">
        <is>
          <t>指标</t>
        </is>
      </c>
      <c r="C148" s="19" t="n"/>
      <c r="D148" s="20" t="n">
        <v>9.83</v>
      </c>
      <c r="E148" s="18" t="inlineStr">
        <is>
          <t>亿元</t>
        </is>
      </c>
      <c r="F148" s="21" t="n"/>
      <c r="G148" s="19" t="n"/>
      <c r="H148" s="22" t="inlineStr">
        <is>
          <t>越小越好</t>
        </is>
      </c>
      <c r="I148" s="22" t="n"/>
      <c r="J148" s="22" t="n"/>
      <c r="K148" s="23" t="inlineStr">
        <is>
          <t>目录中未找到</t>
        </is>
      </c>
      <c r="L148" s="24" t="n"/>
      <c r="M148" s="25" t="n"/>
      <c r="N148" s="21" t="n"/>
      <c r="O148" s="21" t="n"/>
      <c r="P148" s="21" t="inlineStr">
        <is>
          <t>一览表 2026年7月末（全省，亿元/万户）</t>
        </is>
      </c>
    </row>
    <row r="149" ht="22" customHeight="1">
      <c r="A149" s="13" t="inlineStr">
        <is>
          <t>七、经营重点</t>
        </is>
      </c>
      <c r="B149" s="14" t="inlineStr">
        <is>
          <t>板块</t>
        </is>
      </c>
      <c r="C149" s="14" t="n"/>
      <c r="D149" s="15" t="n"/>
      <c r="E149" s="14" t="n"/>
      <c r="F149" s="16" t="n"/>
      <c r="G149" s="14" t="n"/>
      <c r="H149" s="16" t="n"/>
      <c r="I149" s="16" t="n"/>
      <c r="J149" s="16" t="n"/>
      <c r="K149" s="14" t="n"/>
      <c r="L149" s="14" t="n"/>
      <c r="M149" s="16" t="n"/>
      <c r="N149" s="16" t="n"/>
      <c r="O149" s="16" t="n"/>
      <c r="P149" s="16" t="n"/>
    </row>
    <row r="150" outlineLevel="1">
      <c r="A150" s="17" t="inlineStr">
        <is>
          <t>涉农贷款</t>
        </is>
      </c>
      <c r="B150" s="18" t="inlineStr">
        <is>
          <t>指标</t>
        </is>
      </c>
      <c r="C150" s="19" t="n"/>
      <c r="D150" s="20" t="n">
        <v>12917.43</v>
      </c>
      <c r="E150" s="18" t="inlineStr">
        <is>
          <t>亿元</t>
        </is>
      </c>
      <c r="F150" s="21" t="n"/>
      <c r="G150" s="19" t="inlineStr">
        <is>
          <t>是</t>
        </is>
      </c>
      <c r="H150" s="22" t="inlineStr">
        <is>
          <t>越大越好</t>
        </is>
      </c>
      <c r="I150" s="22" t="n"/>
      <c r="J150" s="22" t="n"/>
      <c r="K150" s="23" t="inlineStr">
        <is>
          <t>目录中未找到</t>
        </is>
      </c>
      <c r="L150" s="24" t="n"/>
      <c r="M150" s="25" t="n"/>
      <c r="N150" s="21" t="n"/>
      <c r="O150" s="21" t="n"/>
      <c r="P150" s="21" t="inlineStr">
        <is>
          <t>一览表 2026年7月末（全省，亿元/万户）</t>
        </is>
      </c>
    </row>
    <row r="151" outlineLevel="2">
      <c r="A151" s="26" t="inlineStr">
        <is>
          <t>涉农贷款占各项贷款比</t>
        </is>
      </c>
      <c r="B151" s="18" t="inlineStr">
        <is>
          <t>比率</t>
        </is>
      </c>
      <c r="C151" s="19" t="n"/>
      <c r="D151" s="27" t="n">
        <v>0.38</v>
      </c>
      <c r="E151" s="18" t="inlineStr">
        <is>
          <t>%</t>
        </is>
      </c>
      <c r="F151" s="21" t="n"/>
      <c r="G151" s="19" t="n"/>
      <c r="H151" s="22" t="inlineStr">
        <is>
          <t>越大越好</t>
        </is>
      </c>
      <c r="I151" s="22" t="inlineStr">
        <is>
          <t>涉农贷款 ÷ 各项贷款</t>
        </is>
      </c>
      <c r="J151" s="22" t="n"/>
      <c r="K151" s="23" t="inlineStr">
        <is>
          <t>目录中未找到</t>
        </is>
      </c>
      <c r="L151" s="24" t="n"/>
      <c r="M151" s="25" t="n"/>
      <c r="N151" s="21" t="inlineStr">
        <is>
          <t>涉农贷款</t>
        </is>
      </c>
      <c r="O151" s="21" t="inlineStr">
        <is>
          <t>比率</t>
        </is>
      </c>
      <c r="P151" s="21" t="inlineStr">
        <is>
          <t>一览表</t>
        </is>
      </c>
    </row>
    <row r="152" outlineLevel="2">
      <c r="A152" s="29" t="inlineStr">
        <is>
          <t>〔其中项〕</t>
        </is>
      </c>
      <c r="B152" s="18" t="inlineStr">
        <is>
          <t>拆解方式</t>
        </is>
      </c>
      <c r="C152" s="18" t="n"/>
      <c r="D152" s="20" t="n"/>
      <c r="E152" s="18" t="n"/>
      <c r="F152" s="21">
        <f>IF((COUNTIFS($N$3:$N$337,N152,$O$3:$O$337,O152,$C$3:$C$337,"加")+COUNTIFS($N$3:$N$337,N152,$O$3:$O$337,O152,$C$3:$C$337,"减"))=0,"其中项，不参与加总",IF(ISNUMBER(D150)=FALSE,"上级无数值，无法校验",IF(SUMPRODUCT(($N$3:$N$337=N152)*($O$3:$O$337=O152)*(($C$3:$C$337="加")+($C$3:$C$337="减"))*(ISNUMBER($D$3:$D$337)=FALSE))&gt;0,"部分下级无数值，无法校验",IF(ABS(D150-(SUMIFS($D$3:$D$337,$N$3:$N$337,N152,$O$3:$O$337,O152,$C$3:$C$337,"加")-SUMIFS($D$3:$D$337,$N$3:$N$337,N152,$O$3:$O$337,O152,$C$3:$C$337,"减")))&lt;=MAX(0.05,ABS(D150)*0.0005),"✓ 合计与上级一致","✗ 合计与上级相差 "&amp;TEXT(D150-(SUMIFS($D$3:$D$337,$N$3:$N$337,N152,$O$3:$O$337,O152,$C$3:$C$337,"加")-SUMIFS($D$3:$D$337,$N$3:$N$337,N152,$O$3:$O$337,O152,$C$3:$C$337,"减")),"#,##0.00")))))</f>
        <v/>
      </c>
      <c r="G152" s="18" t="n"/>
      <c r="H152" s="21" t="n"/>
      <c r="I152" s="21" t="n"/>
      <c r="J152" s="21" t="n"/>
      <c r="K152" s="18" t="n"/>
      <c r="L152" s="18" t="n"/>
      <c r="M152" s="21" t="n"/>
      <c r="N152" s="21" t="inlineStr">
        <is>
          <t>涉农贷款</t>
        </is>
      </c>
      <c r="O152" s="21" t="inlineStr">
        <is>
          <t>其中项</t>
        </is>
      </c>
      <c r="P152" s="21" t="n"/>
    </row>
    <row r="153" outlineLevel="2">
      <c r="A153" s="30" t="inlineStr">
        <is>
          <t>普惠型涉农贷款</t>
        </is>
      </c>
      <c r="B153" s="18" t="inlineStr">
        <is>
          <t>指标</t>
        </is>
      </c>
      <c r="C153" s="19" t="inlineStr">
        <is>
          <t>其中</t>
        </is>
      </c>
      <c r="D153" s="20" t="n">
        <v>5587.23</v>
      </c>
      <c r="E153" s="18" t="inlineStr">
        <is>
          <t>亿元</t>
        </is>
      </c>
      <c r="F153" s="21" t="n"/>
      <c r="G153" s="19" t="n"/>
      <c r="H153" s="22" t="inlineStr">
        <is>
          <t>越大越好</t>
        </is>
      </c>
      <c r="I153" s="22" t="n"/>
      <c r="J153" s="22" t="n"/>
      <c r="K153" s="23" t="inlineStr">
        <is>
          <t>目录中未找到</t>
        </is>
      </c>
      <c r="L153" s="24" t="n"/>
      <c r="M153" s="25" t="n"/>
      <c r="N153" s="21" t="inlineStr">
        <is>
          <t>涉农贷款</t>
        </is>
      </c>
      <c r="O153" s="21" t="inlineStr">
        <is>
          <t>其中项</t>
        </is>
      </c>
      <c r="P153" s="21" t="inlineStr">
        <is>
          <t>一览表 2026年7月末（全省，亿元/万户）</t>
        </is>
      </c>
    </row>
    <row r="154" outlineLevel="3">
      <c r="A154" s="31" t="inlineStr">
        <is>
          <t>普惠型涉农贷款占涉农贷款比</t>
        </is>
      </c>
      <c r="B154" s="18" t="inlineStr">
        <is>
          <t>比率</t>
        </is>
      </c>
      <c r="C154" s="19" t="n"/>
      <c r="D154" s="27" t="n">
        <v>0.43</v>
      </c>
      <c r="E154" s="18" t="inlineStr">
        <is>
          <t>%</t>
        </is>
      </c>
      <c r="F154" s="21" t="n"/>
      <c r="G154" s="19" t="n"/>
      <c r="H154" s="22" t="inlineStr">
        <is>
          <t>越大越好</t>
        </is>
      </c>
      <c r="I154" s="22" t="inlineStr">
        <is>
          <t>普惠型涉农贷款 ÷ 涉农贷款</t>
        </is>
      </c>
      <c r="J154" s="22" t="n"/>
      <c r="K154" s="23" t="inlineStr">
        <is>
          <t>目录中未找到</t>
        </is>
      </c>
      <c r="L154" s="24" t="n"/>
      <c r="M154" s="25" t="n"/>
      <c r="N154" s="21" t="inlineStr">
        <is>
          <t>普惠型涉农贷款</t>
        </is>
      </c>
      <c r="O154" s="21" t="inlineStr">
        <is>
          <t>比率</t>
        </is>
      </c>
      <c r="P154" s="21" t="inlineStr">
        <is>
          <t>一览表</t>
        </is>
      </c>
    </row>
    <row r="155" outlineLevel="1">
      <c r="A155" s="17" t="inlineStr">
        <is>
          <t>小微企业贷款（不含转贴现）</t>
        </is>
      </c>
      <c r="B155" s="18" t="inlineStr">
        <is>
          <t>指标</t>
        </is>
      </c>
      <c r="C155" s="19" t="n"/>
      <c r="D155" s="20" t="n">
        <v>22936.01</v>
      </c>
      <c r="E155" s="18" t="inlineStr">
        <is>
          <t>亿元</t>
        </is>
      </c>
      <c r="F155" s="21" t="n"/>
      <c r="G155" s="19" t="inlineStr">
        <is>
          <t>是</t>
        </is>
      </c>
      <c r="H155" s="22" t="inlineStr">
        <is>
          <t>越大越好</t>
        </is>
      </c>
      <c r="I155" s="22" t="n"/>
      <c r="J155" s="22" t="n"/>
      <c r="K155" s="23" t="inlineStr">
        <is>
          <t>目录中未找到</t>
        </is>
      </c>
      <c r="L155" s="24" t="n"/>
      <c r="M155" s="25" t="n"/>
      <c r="N155" s="21" t="n"/>
      <c r="O155" s="21" t="n"/>
      <c r="P155" s="21" t="inlineStr">
        <is>
          <t>一览表 2026年7月末（全省，亿元/万户）</t>
        </is>
      </c>
    </row>
    <row r="156" outlineLevel="2">
      <c r="A156" s="26" t="inlineStr">
        <is>
          <t>小微企业贷款占各项贷款比</t>
        </is>
      </c>
      <c r="B156" s="18" t="inlineStr">
        <is>
          <t>比率</t>
        </is>
      </c>
      <c r="C156" s="19" t="n"/>
      <c r="D156" s="27" t="n">
        <v>0.71</v>
      </c>
      <c r="E156" s="18" t="inlineStr">
        <is>
          <t>%</t>
        </is>
      </c>
      <c r="F156" s="21" t="n"/>
      <c r="G156" s="19" t="n"/>
      <c r="H156" s="22" t="inlineStr">
        <is>
          <t>越大越好</t>
        </is>
      </c>
      <c r="I156" s="22" t="inlineStr">
        <is>
          <t>小微企业贷款（不含转贴现） ÷ 各项贷款</t>
        </is>
      </c>
      <c r="J156" s="22" t="n"/>
      <c r="K156" s="23" t="inlineStr">
        <is>
          <t>目录中未找到</t>
        </is>
      </c>
      <c r="L156" s="24" t="n"/>
      <c r="M156" s="25" t="n"/>
      <c r="N156" s="21" t="inlineStr">
        <is>
          <t>小微企业贷款（不含转贴现）</t>
        </is>
      </c>
      <c r="O156" s="21" t="inlineStr">
        <is>
          <t>比率</t>
        </is>
      </c>
      <c r="P156" s="21" t="inlineStr">
        <is>
          <t>一览表</t>
        </is>
      </c>
    </row>
    <row r="157" outlineLevel="2">
      <c r="A157" s="29" t="inlineStr">
        <is>
          <t>〔其中项〕</t>
        </is>
      </c>
      <c r="B157" s="18" t="inlineStr">
        <is>
          <t>拆解方式</t>
        </is>
      </c>
      <c r="C157" s="18" t="n"/>
      <c r="D157" s="20" t="n"/>
      <c r="E157" s="18" t="n"/>
      <c r="F157" s="21">
        <f>IF((COUNTIFS($N$3:$N$337,N157,$O$3:$O$337,O157,$C$3:$C$337,"加")+COUNTIFS($N$3:$N$337,N157,$O$3:$O$337,O157,$C$3:$C$337,"减"))=0,"其中项，不参与加总",IF(ISNUMBER(D155)=FALSE,"上级无数值，无法校验",IF(SUMPRODUCT(($N$3:$N$337=N157)*($O$3:$O$337=O157)*(($C$3:$C$337="加")+($C$3:$C$337="减"))*(ISNUMBER($D$3:$D$337)=FALSE))&gt;0,"部分下级无数值，无法校验",IF(ABS(D155-(SUMIFS($D$3:$D$337,$N$3:$N$337,N157,$O$3:$O$337,O157,$C$3:$C$337,"加")-SUMIFS($D$3:$D$337,$N$3:$N$337,N157,$O$3:$O$337,O157,$C$3:$C$337,"减")))&lt;=MAX(0.05,ABS(D155)*0.0005),"✓ 合计与上级一致","✗ 合计与上级相差 "&amp;TEXT(D155-(SUMIFS($D$3:$D$337,$N$3:$N$337,N157,$O$3:$O$337,O157,$C$3:$C$337,"加")-SUMIFS($D$3:$D$337,$N$3:$N$337,N157,$O$3:$O$337,O157,$C$3:$C$337,"减")),"#,##0.00")))))</f>
        <v/>
      </c>
      <c r="G157" s="18" t="n"/>
      <c r="H157" s="21" t="n"/>
      <c r="I157" s="21" t="n"/>
      <c r="J157" s="21" t="n"/>
      <c r="K157" s="18" t="n"/>
      <c r="L157" s="18" t="n"/>
      <c r="M157" s="21" t="n"/>
      <c r="N157" s="21" t="inlineStr">
        <is>
          <t>小微企业贷款（不含转贴现）</t>
        </is>
      </c>
      <c r="O157" s="21" t="inlineStr">
        <is>
          <t>其中项</t>
        </is>
      </c>
      <c r="P157" s="21" t="n"/>
    </row>
    <row r="158" outlineLevel="2">
      <c r="A158" s="30" t="inlineStr">
        <is>
          <t>普惠型小微企业贷款</t>
        </is>
      </c>
      <c r="B158" s="18" t="inlineStr">
        <is>
          <t>指标</t>
        </is>
      </c>
      <c r="C158" s="19" t="inlineStr">
        <is>
          <t>其中</t>
        </is>
      </c>
      <c r="D158" s="20" t="n">
        <v>9964.969999999999</v>
      </c>
      <c r="E158" s="18" t="inlineStr">
        <is>
          <t>亿元</t>
        </is>
      </c>
      <c r="F158" s="21" t="n"/>
      <c r="G158" s="19" t="n"/>
      <c r="H158" s="22" t="inlineStr">
        <is>
          <t>越大越好</t>
        </is>
      </c>
      <c r="I158" s="22" t="n"/>
      <c r="J158" s="22" t="inlineStr">
        <is>
          <t>普惠型小微企业贷款余额</t>
        </is>
      </c>
      <c r="K158" s="28" t="inlineStr">
        <is>
          <t>完全一致</t>
        </is>
      </c>
      <c r="L158" s="24" t="n"/>
      <c r="M158" s="25" t="n"/>
      <c r="N158" s="21" t="inlineStr">
        <is>
          <t>小微企业贷款（不含转贴现）</t>
        </is>
      </c>
      <c r="O158" s="21" t="inlineStr">
        <is>
          <t>其中项</t>
        </is>
      </c>
      <c r="P158" s="21" t="inlineStr">
        <is>
          <t>一览表 2026年7月末（全省，亿元/万户）</t>
        </is>
      </c>
    </row>
    <row r="159" outlineLevel="3">
      <c r="A159" s="31" t="inlineStr">
        <is>
          <t>普惠小微占小微企业贷款比</t>
        </is>
      </c>
      <c r="B159" s="18" t="inlineStr">
        <is>
          <t>比率</t>
        </is>
      </c>
      <c r="C159" s="19" t="n"/>
      <c r="D159" s="27" t="n">
        <v>0.43</v>
      </c>
      <c r="E159" s="18" t="inlineStr">
        <is>
          <t>%</t>
        </is>
      </c>
      <c r="F159" s="21" t="n"/>
      <c r="G159" s="19" t="n"/>
      <c r="H159" s="22" t="inlineStr">
        <is>
          <t>越大越好</t>
        </is>
      </c>
      <c r="I159" s="22" t="inlineStr">
        <is>
          <t>普惠型小微企业贷款 ÷ 小微企业贷款（不含转贴现）</t>
        </is>
      </c>
      <c r="J159" s="22" t="n"/>
      <c r="K159" s="23" t="inlineStr">
        <is>
          <t>目录中未找到</t>
        </is>
      </c>
      <c r="L159" s="24" t="n"/>
      <c r="M159" s="25" t="n"/>
      <c r="N159" s="21" t="inlineStr">
        <is>
          <t>普惠型小微企业贷款</t>
        </is>
      </c>
      <c r="O159" s="21" t="inlineStr">
        <is>
          <t>比率</t>
        </is>
      </c>
      <c r="P159" s="21" t="inlineStr">
        <is>
          <t>一览表</t>
        </is>
      </c>
    </row>
    <row r="160" outlineLevel="1">
      <c r="A160" s="17" t="inlineStr">
        <is>
          <t>涉农与小微企业贷款</t>
        </is>
      </c>
      <c r="B160" s="18" t="inlineStr">
        <is>
          <t>指标</t>
        </is>
      </c>
      <c r="C160" s="19" t="n"/>
      <c r="D160" s="20" t="n">
        <v>27606.07</v>
      </c>
      <c r="E160" s="18" t="inlineStr">
        <is>
          <t>亿元</t>
        </is>
      </c>
      <c r="F160" s="21" t="n"/>
      <c r="G160" s="19" t="n"/>
      <c r="H160" s="22" t="inlineStr">
        <is>
          <t>越大越好</t>
        </is>
      </c>
      <c r="I160" s="22" t="n"/>
      <c r="J160" s="22" t="inlineStr">
        <is>
          <t>涉农及小微贷款余额</t>
        </is>
      </c>
      <c r="K160" s="32" t="inlineStr">
        <is>
          <t>近似，请核对</t>
        </is>
      </c>
      <c r="L160" s="24" t="n"/>
      <c r="M160" s="25" t="n"/>
      <c r="N160" s="21" t="n"/>
      <c r="O160" s="21" t="n"/>
      <c r="P160" s="21" t="inlineStr">
        <is>
          <t>一览表 2026年7月末（全省，亿元/万户）</t>
        </is>
      </c>
    </row>
    <row r="161" outlineLevel="2">
      <c r="A161" s="26" t="inlineStr">
        <is>
          <t>涉农与小微企业贷款占各项贷款比</t>
        </is>
      </c>
      <c r="B161" s="18" t="inlineStr">
        <is>
          <t>比率</t>
        </is>
      </c>
      <c r="C161" s="19" t="n"/>
      <c r="D161" s="27" t="n">
        <v>0.85</v>
      </c>
      <c r="E161" s="18" t="inlineStr">
        <is>
          <t>%</t>
        </is>
      </c>
      <c r="F161" s="21" t="n"/>
      <c r="G161" s="19" t="n"/>
      <c r="H161" s="22" t="inlineStr">
        <is>
          <t>越大越好</t>
        </is>
      </c>
      <c r="I161" s="22" t="inlineStr">
        <is>
          <t>涉农与小微企业贷款 ÷ 各项贷款</t>
        </is>
      </c>
      <c r="J161" s="22" t="inlineStr">
        <is>
          <t>涉农及小微贷款余额占比</t>
        </is>
      </c>
      <c r="K161" s="32" t="inlineStr">
        <is>
          <t>近似，请核对</t>
        </is>
      </c>
      <c r="L161" s="24" t="n"/>
      <c r="M161" s="25" t="n"/>
      <c r="N161" s="21" t="inlineStr">
        <is>
          <t>涉农与小微企业贷款</t>
        </is>
      </c>
      <c r="O161" s="21" t="inlineStr">
        <is>
          <t>比率</t>
        </is>
      </c>
      <c r="P161" s="21" t="inlineStr">
        <is>
          <t>一览表</t>
        </is>
      </c>
    </row>
    <row r="162" outlineLevel="1">
      <c r="A162" s="17" t="inlineStr">
        <is>
          <t>普惠型农户和普惠型小微企业贷款</t>
        </is>
      </c>
      <c r="B162" s="18" t="inlineStr">
        <is>
          <t>指标</t>
        </is>
      </c>
      <c r="C162" s="19" t="n"/>
      <c r="D162" s="20" t="n">
        <v>11798.58</v>
      </c>
      <c r="E162" s="18" t="inlineStr">
        <is>
          <t>亿元</t>
        </is>
      </c>
      <c r="F162" s="21" t="n"/>
      <c r="G162" s="19" t="n"/>
      <c r="H162" s="22" t="inlineStr">
        <is>
          <t>越大越好</t>
        </is>
      </c>
      <c r="I162" s="22" t="n"/>
      <c r="J162" s="22" t="inlineStr">
        <is>
          <t>普惠型农户和普惠型小微企业贷款余额</t>
        </is>
      </c>
      <c r="K162" s="28" t="inlineStr">
        <is>
          <t>完全一致</t>
        </is>
      </c>
      <c r="L162" s="24" t="n"/>
      <c r="M162" s="25" t="n"/>
      <c r="N162" s="21" t="n"/>
      <c r="O162" s="21" t="n"/>
      <c r="P162" s="21" t="inlineStr">
        <is>
          <t>一览表 2026年7月末（全省，亿元/万户）</t>
        </is>
      </c>
    </row>
    <row r="163" outlineLevel="2">
      <c r="A163" s="26" t="inlineStr">
        <is>
          <t>普惠型农户和普惠型小微企业贷款占各项贷款比</t>
        </is>
      </c>
      <c r="B163" s="18" t="inlineStr">
        <is>
          <t>比率</t>
        </is>
      </c>
      <c r="C163" s="19" t="n"/>
      <c r="D163" s="27" t="n">
        <v>0.39</v>
      </c>
      <c r="E163" s="18" t="inlineStr">
        <is>
          <t>%</t>
        </is>
      </c>
      <c r="F163" s="21" t="n"/>
      <c r="G163" s="19" t="n"/>
      <c r="H163" s="22" t="inlineStr">
        <is>
          <t>越大越好</t>
        </is>
      </c>
      <c r="I163" s="22" t="inlineStr">
        <is>
          <t>普惠型农户和普惠型小微企业贷款 ÷ 各项贷款</t>
        </is>
      </c>
      <c r="J163" s="22" t="inlineStr">
        <is>
          <t>普惠型农户和普惠型小微企业贷款占各项贷款余额占比</t>
        </is>
      </c>
      <c r="K163" s="32" t="inlineStr">
        <is>
          <t>近似，请核对</t>
        </is>
      </c>
      <c r="L163" s="24" t="n"/>
      <c r="M163" s="25" t="n"/>
      <c r="N163" s="21" t="inlineStr">
        <is>
          <t>普惠型农户和普惠型小微企业贷款</t>
        </is>
      </c>
      <c r="O163" s="21" t="inlineStr">
        <is>
          <t>比率</t>
        </is>
      </c>
      <c r="P163" s="21" t="inlineStr">
        <is>
          <t>一览表</t>
        </is>
      </c>
    </row>
    <row r="164" outlineLevel="1">
      <c r="A164" s="17" t="inlineStr">
        <is>
          <t>各项贷款占比（坚守定位）</t>
        </is>
      </c>
      <c r="B164" s="18" t="inlineStr">
        <is>
          <t>指标</t>
        </is>
      </c>
      <c r="C164" s="19" t="n"/>
      <c r="D164" s="27" t="n">
        <v>0.64</v>
      </c>
      <c r="E164" s="18" t="inlineStr">
        <is>
          <t>%</t>
        </is>
      </c>
      <c r="F164" s="21" t="n"/>
      <c r="G164" s="19" t="n"/>
      <c r="H164" s="22" t="inlineStr">
        <is>
          <t>越大越好</t>
        </is>
      </c>
      <c r="I164" s="22" t="inlineStr">
        <is>
          <t>计算方式请业务确认</t>
        </is>
      </c>
      <c r="J164" s="22" t="n"/>
      <c r="K164" s="23" t="inlineStr">
        <is>
          <t>目录中未找到</t>
        </is>
      </c>
      <c r="L164" s="24" t="n"/>
      <c r="M164" s="25" t="n"/>
      <c r="N164" s="21" t="n"/>
      <c r="O164" s="21" t="n"/>
      <c r="P164" s="21" t="inlineStr">
        <is>
          <t>一览表 2026年7月末（全省，亿元/万户）</t>
        </is>
      </c>
    </row>
    <row r="165" outlineLevel="1">
      <c r="A165" s="17" t="inlineStr">
        <is>
          <t>新增可贷资金用于当地贷款比例</t>
        </is>
      </c>
      <c r="B165" s="18" t="inlineStr">
        <is>
          <t>指标</t>
        </is>
      </c>
      <c r="C165" s="19" t="n"/>
      <c r="D165" s="27" t="inlineStr">
        <is>
          <t>季度指标</t>
        </is>
      </c>
      <c r="E165" s="18" t="inlineStr">
        <is>
          <t>%</t>
        </is>
      </c>
      <c r="F165" s="21" t="n"/>
      <c r="G165" s="19" t="n"/>
      <c r="H165" s="22" t="inlineStr">
        <is>
          <t>越大越好</t>
        </is>
      </c>
      <c r="I165" s="22" t="n"/>
      <c r="J165" s="22" t="n"/>
      <c r="K165" s="23" t="inlineStr">
        <is>
          <t>目录中未找到</t>
        </is>
      </c>
      <c r="L165" s="24" t="n"/>
      <c r="M165" s="25" t="inlineStr">
        <is>
          <t>季度指标</t>
        </is>
      </c>
      <c r="N165" s="21" t="n"/>
      <c r="O165" s="21" t="n"/>
      <c r="P165" s="21" t="inlineStr">
        <is>
          <t>一览表 2026年7月末（全省，亿元/万户）</t>
        </is>
      </c>
    </row>
    <row r="166" outlineLevel="1">
      <c r="A166" s="17" t="inlineStr">
        <is>
          <t>大额贷款占比</t>
        </is>
      </c>
      <c r="B166" s="18" t="inlineStr">
        <is>
          <t>指标</t>
        </is>
      </c>
      <c r="C166" s="19" t="n"/>
      <c r="D166" s="27" t="inlineStr">
        <is>
          <t>季度指标</t>
        </is>
      </c>
      <c r="E166" s="18" t="inlineStr">
        <is>
          <t>%</t>
        </is>
      </c>
      <c r="F166" s="21" t="n"/>
      <c r="G166" s="19" t="n"/>
      <c r="H166" s="22" t="inlineStr">
        <is>
          <t>越小越好</t>
        </is>
      </c>
      <c r="I166" s="22" t="n"/>
      <c r="J166" s="22" t="inlineStr">
        <is>
          <t>大额贷款余额占比</t>
        </is>
      </c>
      <c r="K166" s="32" t="inlineStr">
        <is>
          <t>近似，请核对</t>
        </is>
      </c>
      <c r="L166" s="24" t="n"/>
      <c r="M166" s="25" t="inlineStr">
        <is>
          <t>季度指标</t>
        </is>
      </c>
      <c r="N166" s="21" t="n"/>
      <c r="O166" s="21" t="n"/>
      <c r="P166" s="21" t="inlineStr">
        <is>
          <t>一览表 2026年7月末（全省，亿元/万户）</t>
        </is>
      </c>
    </row>
    <row r="167" outlineLevel="1">
      <c r="A167" s="17" t="inlineStr">
        <is>
          <t>农户授信覆盖面</t>
        </is>
      </c>
      <c r="B167" s="18" t="inlineStr">
        <is>
          <t>指标</t>
        </is>
      </c>
      <c r="C167" s="19" t="n"/>
      <c r="D167" s="27" t="inlineStr">
        <is>
          <t>季度指标</t>
        </is>
      </c>
      <c r="E167" s="18" t="inlineStr">
        <is>
          <t>%</t>
        </is>
      </c>
      <c r="F167" s="21" t="n"/>
      <c r="G167" s="19" t="n"/>
      <c r="H167" s="22" t="inlineStr">
        <is>
          <t>越大越好</t>
        </is>
      </c>
      <c r="I167" s="22" t="n"/>
      <c r="J167" s="22" t="n"/>
      <c r="K167" s="23" t="inlineStr">
        <is>
          <t>目录中未找到</t>
        </is>
      </c>
      <c r="L167" s="24" t="n"/>
      <c r="M167" s="25" t="inlineStr">
        <is>
          <t>季度指标</t>
        </is>
      </c>
      <c r="N167" s="21" t="n"/>
      <c r="O167" s="21" t="n"/>
      <c r="P167" s="21" t="inlineStr">
        <is>
          <t>一览表 2026年7月末（全省，亿元/万户）</t>
        </is>
      </c>
    </row>
    <row r="168" outlineLevel="1">
      <c r="A168" s="17" t="inlineStr">
        <is>
          <t>小微企业授信覆盖面</t>
        </is>
      </c>
      <c r="B168" s="18" t="inlineStr">
        <is>
          <t>指标</t>
        </is>
      </c>
      <c r="C168" s="19" t="n"/>
      <c r="D168" s="27" t="inlineStr">
        <is>
          <t>季度指标</t>
        </is>
      </c>
      <c r="E168" s="18" t="inlineStr">
        <is>
          <t>%</t>
        </is>
      </c>
      <c r="F168" s="21" t="n"/>
      <c r="G168" s="19" t="n"/>
      <c r="H168" s="22" t="inlineStr">
        <is>
          <t>越大越好</t>
        </is>
      </c>
      <c r="I168" s="22" t="n"/>
      <c r="J168" s="22" t="n"/>
      <c r="K168" s="23" t="inlineStr">
        <is>
          <t>目录中未找到</t>
        </is>
      </c>
      <c r="L168" s="24" t="n"/>
      <c r="M168" s="25" t="inlineStr">
        <is>
          <t>季度指标</t>
        </is>
      </c>
      <c r="N168" s="21" t="n"/>
      <c r="O168" s="21" t="n"/>
      <c r="P168" s="21" t="inlineStr">
        <is>
          <t>一览表 2026年7月末（全省，亿元/万户）</t>
        </is>
      </c>
    </row>
    <row r="169" outlineLevel="1">
      <c r="A169" s="17" t="inlineStr">
        <is>
          <t>农户与小微企业用信覆盖面</t>
        </is>
      </c>
      <c r="B169" s="18" t="inlineStr">
        <is>
          <t>指标</t>
        </is>
      </c>
      <c r="C169" s="19" t="n"/>
      <c r="D169" s="27" t="inlineStr">
        <is>
          <t>季度指标</t>
        </is>
      </c>
      <c r="E169" s="18" t="inlineStr">
        <is>
          <t>%</t>
        </is>
      </c>
      <c r="F169" s="21" t="n"/>
      <c r="G169" s="19" t="n"/>
      <c r="H169" s="22" t="inlineStr">
        <is>
          <t>越大越好</t>
        </is>
      </c>
      <c r="I169" s="22" t="n"/>
      <c r="J169" s="22" t="n"/>
      <c r="K169" s="23" t="inlineStr">
        <is>
          <t>目录中未找到</t>
        </is>
      </c>
      <c r="L169" s="24" t="n"/>
      <c r="M169" s="25" t="inlineStr">
        <is>
          <t>季度指标</t>
        </is>
      </c>
      <c r="N169" s="21" t="n"/>
      <c r="O169" s="21" t="n"/>
      <c r="P169" s="21" t="inlineStr">
        <is>
          <t>一览表 2026年7月末（全省，亿元/万户）</t>
        </is>
      </c>
    </row>
    <row r="170" outlineLevel="1">
      <c r="A170" s="17" t="inlineStr">
        <is>
          <t>农户建档评级覆盖面</t>
        </is>
      </c>
      <c r="B170" s="18" t="inlineStr">
        <is>
          <t>指标</t>
        </is>
      </c>
      <c r="C170" s="19" t="n"/>
      <c r="D170" s="27" t="inlineStr">
        <is>
          <t>季度指标</t>
        </is>
      </c>
      <c r="E170" s="18" t="inlineStr">
        <is>
          <t>%</t>
        </is>
      </c>
      <c r="F170" s="21" t="n"/>
      <c r="G170" s="19" t="n"/>
      <c r="H170" s="22" t="inlineStr">
        <is>
          <t>越大越好</t>
        </is>
      </c>
      <c r="I170" s="22" t="n"/>
      <c r="J170" s="22" t="n"/>
      <c r="K170" s="23" t="inlineStr">
        <is>
          <t>目录中未找到</t>
        </is>
      </c>
      <c r="L170" s="24" t="n"/>
      <c r="M170" s="25" t="inlineStr">
        <is>
          <t>季度指标</t>
        </is>
      </c>
      <c r="N170" s="21" t="n"/>
      <c r="O170" s="21" t="n"/>
      <c r="P170" s="21" t="inlineStr">
        <is>
          <t>一览表 2026年7月末（全省，亿元/万户）</t>
        </is>
      </c>
    </row>
    <row r="171" outlineLevel="1">
      <c r="A171" s="17" t="inlineStr">
        <is>
          <t>小微企业建档评级覆盖面</t>
        </is>
      </c>
      <c r="B171" s="18" t="inlineStr">
        <is>
          <t>指标</t>
        </is>
      </c>
      <c r="C171" s="19" t="n"/>
      <c r="D171" s="27" t="inlineStr">
        <is>
          <t>季度指标</t>
        </is>
      </c>
      <c r="E171" s="18" t="inlineStr">
        <is>
          <t>%</t>
        </is>
      </c>
      <c r="F171" s="21" t="n"/>
      <c r="G171" s="19" t="n"/>
      <c r="H171" s="22" t="inlineStr">
        <is>
          <t>越大越好</t>
        </is>
      </c>
      <c r="I171" s="22" t="n"/>
      <c r="J171" s="22" t="n"/>
      <c r="K171" s="23" t="inlineStr">
        <is>
          <t>目录中未找到</t>
        </is>
      </c>
      <c r="L171" s="24" t="n"/>
      <c r="M171" s="25" t="inlineStr">
        <is>
          <t>季度指标</t>
        </is>
      </c>
      <c r="N171" s="21" t="n"/>
      <c r="O171" s="21" t="n"/>
      <c r="P171" s="21" t="inlineStr">
        <is>
          <t>一览表 2026年7月末（全省，亿元/万户）</t>
        </is>
      </c>
    </row>
    <row r="172" outlineLevel="1">
      <c r="A172" s="17" t="inlineStr">
        <is>
          <t>电子交易替代率</t>
        </is>
      </c>
      <c r="B172" s="18" t="inlineStr">
        <is>
          <t>指标</t>
        </is>
      </c>
      <c r="C172" s="19" t="n"/>
      <c r="D172" s="27" t="inlineStr">
        <is>
          <t>季度指标</t>
        </is>
      </c>
      <c r="E172" s="18" t="inlineStr">
        <is>
          <t>%</t>
        </is>
      </c>
      <c r="F172" s="21" t="n"/>
      <c r="G172" s="19" t="n"/>
      <c r="H172" s="22" t="inlineStr">
        <is>
          <t>越大越好</t>
        </is>
      </c>
      <c r="I172" s="22" t="n"/>
      <c r="J172" s="22" t="n"/>
      <c r="K172" s="23" t="inlineStr">
        <is>
          <t>目录中未找到</t>
        </is>
      </c>
      <c r="L172" s="24" t="n"/>
      <c r="M172" s="25" t="inlineStr">
        <is>
          <t>季度指标</t>
        </is>
      </c>
      <c r="N172" s="21" t="n"/>
      <c r="O172" s="21" t="n"/>
      <c r="P172" s="21" t="inlineStr">
        <is>
          <t>一览表 2026年7月末（全省，亿元/万户）</t>
        </is>
      </c>
    </row>
    <row r="173" outlineLevel="1">
      <c r="A173" s="17" t="inlineStr">
        <is>
          <t>涉农与小微企业贷款增速</t>
        </is>
      </c>
      <c r="B173" s="18" t="inlineStr">
        <is>
          <t>指标</t>
        </is>
      </c>
      <c r="C173" s="19" t="n"/>
      <c r="D173" s="27" t="n">
        <v>0.07000000000000001</v>
      </c>
      <c r="E173" s="18" t="inlineStr">
        <is>
          <t>%</t>
        </is>
      </c>
      <c r="F173" s="21" t="n"/>
      <c r="G173" s="19" t="n"/>
      <c r="H173" s="22" t="inlineStr">
        <is>
          <t>越大越好</t>
        </is>
      </c>
      <c r="I173" s="22" t="inlineStr">
        <is>
          <t>可由“涉农与小微企业贷款”的较年初增幅得到，请确认</t>
        </is>
      </c>
      <c r="J173" s="22" t="n"/>
      <c r="K173" s="23" t="inlineStr">
        <is>
          <t>目录中未找到</t>
        </is>
      </c>
      <c r="L173" s="24" t="n"/>
      <c r="M173" s="25" t="n"/>
      <c r="N173" s="21" t="n"/>
      <c r="O173" s="21" t="n"/>
      <c r="P173" s="21" t="inlineStr">
        <is>
          <t>一览表 2026年7月末（全省，亿元/万户）</t>
        </is>
      </c>
    </row>
    <row r="174" outlineLevel="1">
      <c r="A174" s="17" t="inlineStr">
        <is>
          <t>普惠型农户和普惠型小微企业贷款增速</t>
        </is>
      </c>
      <c r="B174" s="18" t="inlineStr">
        <is>
          <t>指标</t>
        </is>
      </c>
      <c r="C174" s="19" t="n"/>
      <c r="D174" s="27" t="n">
        <v>0.04</v>
      </c>
      <c r="E174" s="18" t="inlineStr">
        <is>
          <t>%</t>
        </is>
      </c>
      <c r="F174" s="21" t="n"/>
      <c r="G174" s="19" t="n"/>
      <c r="H174" s="22" t="inlineStr">
        <is>
          <t>越大越好</t>
        </is>
      </c>
      <c r="I174" s="22" t="inlineStr">
        <is>
          <t>可由对应贷款的较年初增幅得到，请确认</t>
        </is>
      </c>
      <c r="J174" s="22" t="n"/>
      <c r="K174" s="23" t="inlineStr">
        <is>
          <t>目录中未找到</t>
        </is>
      </c>
      <c r="L174" s="24" t="n"/>
      <c r="M174" s="25" t="n"/>
      <c r="N174" s="21" t="n"/>
      <c r="O174" s="21" t="n"/>
      <c r="P174" s="21" t="inlineStr">
        <is>
          <t>一览表 2026年7月末（全省，亿元/万户）</t>
        </is>
      </c>
    </row>
    <row r="175" outlineLevel="1">
      <c r="A175" s="17" t="inlineStr">
        <is>
          <t>民营企业贷款（全口径）</t>
        </is>
      </c>
      <c r="B175" s="18" t="inlineStr">
        <is>
          <t>指标</t>
        </is>
      </c>
      <c r="C175" s="19" t="n"/>
      <c r="D175" s="20" t="n">
        <v>18730.49</v>
      </c>
      <c r="E175" s="18" t="inlineStr">
        <is>
          <t>亿元</t>
        </is>
      </c>
      <c r="F175" s="21" t="n"/>
      <c r="G175" s="19" t="n"/>
      <c r="H175" s="22" t="inlineStr">
        <is>
          <t>越大越好</t>
        </is>
      </c>
      <c r="I175" s="22" t="n"/>
      <c r="J175" s="22" t="inlineStr">
        <is>
          <t>民营企业贷款余额</t>
        </is>
      </c>
      <c r="K175" s="32" t="inlineStr">
        <is>
          <t>近似，请核对</t>
        </is>
      </c>
      <c r="L175" s="24" t="n"/>
      <c r="M175" s="25" t="n"/>
      <c r="N175" s="21" t="n"/>
      <c r="O175" s="21" t="n"/>
      <c r="P175" s="21" t="inlineStr">
        <is>
          <t>一览表 2026年7月末（全省，亿元/万户）</t>
        </is>
      </c>
    </row>
    <row r="176" outlineLevel="2">
      <c r="A176" s="26" t="inlineStr">
        <is>
          <t>民营企业贷款占各项贷款比</t>
        </is>
      </c>
      <c r="B176" s="18" t="inlineStr">
        <is>
          <t>比率</t>
        </is>
      </c>
      <c r="C176" s="19" t="n"/>
      <c r="D176" s="27" t="n">
        <v>0.55</v>
      </c>
      <c r="E176" s="18" t="inlineStr">
        <is>
          <t>%</t>
        </is>
      </c>
      <c r="F176" s="21" t="n"/>
      <c r="G176" s="19" t="n"/>
      <c r="H176" s="22" t="inlineStr">
        <is>
          <t>越大越好</t>
        </is>
      </c>
      <c r="I176" s="22" t="inlineStr">
        <is>
          <t>民营企业贷款（全口径） ÷ 各项贷款</t>
        </is>
      </c>
      <c r="J176" s="22" t="inlineStr">
        <is>
          <t>民营企业贷款余额占比</t>
        </is>
      </c>
      <c r="K176" s="32" t="inlineStr">
        <is>
          <t>近似，请核对</t>
        </is>
      </c>
      <c r="L176" s="24" t="n"/>
      <c r="M176" s="25" t="n"/>
      <c r="N176" s="21" t="inlineStr">
        <is>
          <t>民营企业贷款（全口径）</t>
        </is>
      </c>
      <c r="O176" s="21" t="inlineStr">
        <is>
          <t>比率</t>
        </is>
      </c>
      <c r="P176" s="21" t="inlineStr">
        <is>
          <t>一览表</t>
        </is>
      </c>
    </row>
    <row r="177" outlineLevel="1">
      <c r="A177" s="17" t="inlineStr">
        <is>
          <t>制造业贷款</t>
        </is>
      </c>
      <c r="B177" s="18" t="inlineStr">
        <is>
          <t>指标</t>
        </is>
      </c>
      <c r="C177" s="19" t="n"/>
      <c r="D177" s="20" t="n">
        <v>8661</v>
      </c>
      <c r="E177" s="18" t="inlineStr">
        <is>
          <t>亿元</t>
        </is>
      </c>
      <c r="F177" s="21" t="n"/>
      <c r="G177" s="19" t="n"/>
      <c r="H177" s="22" t="inlineStr">
        <is>
          <t>越大越好</t>
        </is>
      </c>
      <c r="I177" s="22" t="n"/>
      <c r="J177" s="22" t="n"/>
      <c r="K177" s="23" t="inlineStr">
        <is>
          <t>目录中未找到</t>
        </is>
      </c>
      <c r="L177" s="24" t="n"/>
      <c r="M177" s="25" t="n"/>
      <c r="N177" s="21" t="n"/>
      <c r="O177" s="21" t="n"/>
      <c r="P177" s="21" t="inlineStr">
        <is>
          <t>一览表 2026年7月末（全省，亿元/万户）</t>
        </is>
      </c>
    </row>
    <row r="178" outlineLevel="2">
      <c r="A178" s="26" t="inlineStr">
        <is>
          <t>制造业贷款占各项贷款比</t>
        </is>
      </c>
      <c r="B178" s="18" t="inlineStr">
        <is>
          <t>比率</t>
        </is>
      </c>
      <c r="C178" s="19" t="n"/>
      <c r="D178" s="27" t="n">
        <v>0.25</v>
      </c>
      <c r="E178" s="18" t="inlineStr">
        <is>
          <t>%</t>
        </is>
      </c>
      <c r="F178" s="21" t="n"/>
      <c r="G178" s="19" t="n"/>
      <c r="H178" s="22" t="inlineStr">
        <is>
          <t>越大越好</t>
        </is>
      </c>
      <c r="I178" s="22" t="inlineStr">
        <is>
          <t>制造业贷款 ÷ 各项贷款</t>
        </is>
      </c>
      <c r="J178" s="22" t="n"/>
      <c r="K178" s="23" t="inlineStr">
        <is>
          <t>目录中未找到</t>
        </is>
      </c>
      <c r="L178" s="24" t="n"/>
      <c r="M178" s="25" t="n"/>
      <c r="N178" s="21" t="inlineStr">
        <is>
          <t>制造业贷款</t>
        </is>
      </c>
      <c r="O178" s="21" t="inlineStr">
        <is>
          <t>比率</t>
        </is>
      </c>
      <c r="P178" s="21" t="inlineStr">
        <is>
          <t>一览表</t>
        </is>
      </c>
    </row>
    <row r="179" outlineLevel="1">
      <c r="A179" s="17" t="inlineStr">
        <is>
          <t>绿色贷款</t>
        </is>
      </c>
      <c r="B179" s="18" t="inlineStr">
        <is>
          <t>指标</t>
        </is>
      </c>
      <c r="C179" s="19" t="n"/>
      <c r="D179" s="20" t="inlineStr">
        <is>
          <t>季度指标</t>
        </is>
      </c>
      <c r="E179" s="18" t="inlineStr">
        <is>
          <t>亿元</t>
        </is>
      </c>
      <c r="F179" s="21" t="n"/>
      <c r="G179" s="19" t="n"/>
      <c r="H179" s="22" t="inlineStr">
        <is>
          <t>越大越好</t>
        </is>
      </c>
      <c r="I179" s="22" t="n"/>
      <c r="J179" s="22" t="n"/>
      <c r="K179" s="23" t="inlineStr">
        <is>
          <t>目录中未找到</t>
        </is>
      </c>
      <c r="L179" s="24" t="n"/>
      <c r="M179" s="25" t="inlineStr">
        <is>
          <t>季度指标</t>
        </is>
      </c>
      <c r="N179" s="21" t="n"/>
      <c r="O179" s="21" t="n"/>
      <c r="P179" s="21" t="inlineStr">
        <is>
          <t>一览表 2026年7月末（全省，亿元/万户）</t>
        </is>
      </c>
    </row>
    <row r="180" outlineLevel="2">
      <c r="A180" s="26" t="inlineStr">
        <is>
          <t>绿色贷款占各项贷款比</t>
        </is>
      </c>
      <c r="B180" s="18" t="inlineStr">
        <is>
          <t>比率</t>
        </is>
      </c>
      <c r="C180" s="19" t="n"/>
      <c r="D180" s="27" t="inlineStr">
        <is>
          <t>季度指标</t>
        </is>
      </c>
      <c r="E180" s="18" t="inlineStr">
        <is>
          <t>%</t>
        </is>
      </c>
      <c r="F180" s="21" t="n"/>
      <c r="G180" s="19" t="n"/>
      <c r="H180" s="22" t="inlineStr">
        <is>
          <t>越大越好</t>
        </is>
      </c>
      <c r="I180" s="22" t="inlineStr">
        <is>
          <t>绿色贷款 ÷ 各项贷款</t>
        </is>
      </c>
      <c r="J180" s="22" t="n"/>
      <c r="K180" s="23" t="inlineStr">
        <is>
          <t>目录中未找到</t>
        </is>
      </c>
      <c r="L180" s="24" t="n"/>
      <c r="M180" s="25" t="inlineStr">
        <is>
          <t>季度指标</t>
        </is>
      </c>
      <c r="N180" s="21" t="inlineStr">
        <is>
          <t>绿色贷款</t>
        </is>
      </c>
      <c r="O180" s="21" t="inlineStr">
        <is>
          <t>比率</t>
        </is>
      </c>
      <c r="P180" s="21" t="inlineStr">
        <is>
          <t>一览表</t>
        </is>
      </c>
    </row>
    <row r="181" outlineLevel="1">
      <c r="A181" s="17" t="inlineStr">
        <is>
          <t>科技贷款</t>
        </is>
      </c>
      <c r="B181" s="18" t="inlineStr">
        <is>
          <t>指标</t>
        </is>
      </c>
      <c r="C181" s="19" t="n"/>
      <c r="D181" s="20" t="inlineStr">
        <is>
          <t>季度指标</t>
        </is>
      </c>
      <c r="E181" s="18" t="inlineStr">
        <is>
          <t>亿元</t>
        </is>
      </c>
      <c r="F181" s="21" t="n"/>
      <c r="G181" s="19" t="n"/>
      <c r="H181" s="22" t="inlineStr">
        <is>
          <t>越大越好</t>
        </is>
      </c>
      <c r="I181" s="22" t="n"/>
      <c r="J181" s="22" t="n"/>
      <c r="K181" s="23" t="inlineStr">
        <is>
          <t>目录中未找到</t>
        </is>
      </c>
      <c r="L181" s="24" t="n"/>
      <c r="M181" s="25" t="inlineStr">
        <is>
          <t>季度指标</t>
        </is>
      </c>
      <c r="N181" s="21" t="n"/>
      <c r="O181" s="21" t="n"/>
      <c r="P181" s="21" t="inlineStr">
        <is>
          <t>一览表 2026年7月末（全省，亿元/万户）</t>
        </is>
      </c>
    </row>
    <row r="182" outlineLevel="2">
      <c r="A182" s="26" t="inlineStr">
        <is>
          <t>科技贷款占各项贷款比</t>
        </is>
      </c>
      <c r="B182" s="18" t="inlineStr">
        <is>
          <t>比率</t>
        </is>
      </c>
      <c r="C182" s="19" t="n"/>
      <c r="D182" s="27" t="inlineStr">
        <is>
          <t>季度指标</t>
        </is>
      </c>
      <c r="E182" s="18" t="inlineStr">
        <is>
          <t>%</t>
        </is>
      </c>
      <c r="F182" s="21" t="n"/>
      <c r="G182" s="19" t="n"/>
      <c r="H182" s="22" t="inlineStr">
        <is>
          <t>越大越好</t>
        </is>
      </c>
      <c r="I182" s="22" t="inlineStr">
        <is>
          <t>科技贷款 ÷ 各项贷款</t>
        </is>
      </c>
      <c r="J182" s="22" t="n"/>
      <c r="K182" s="23" t="inlineStr">
        <is>
          <t>目录中未找到</t>
        </is>
      </c>
      <c r="L182" s="24" t="n"/>
      <c r="M182" s="25" t="inlineStr">
        <is>
          <t>季度指标</t>
        </is>
      </c>
      <c r="N182" s="21" t="inlineStr">
        <is>
          <t>科技贷款</t>
        </is>
      </c>
      <c r="O182" s="21" t="inlineStr">
        <is>
          <t>比率</t>
        </is>
      </c>
      <c r="P182" s="21" t="inlineStr">
        <is>
          <t>一览表</t>
        </is>
      </c>
    </row>
    <row r="183" outlineLevel="1">
      <c r="A183" s="17" t="inlineStr">
        <is>
          <t>数字金融贷款</t>
        </is>
      </c>
      <c r="B183" s="18" t="inlineStr">
        <is>
          <t>指标</t>
        </is>
      </c>
      <c r="C183" s="19" t="n"/>
      <c r="D183" s="20" t="inlineStr">
        <is>
          <t>季度指标</t>
        </is>
      </c>
      <c r="E183" s="18" t="inlineStr">
        <is>
          <t>亿元</t>
        </is>
      </c>
      <c r="F183" s="21" t="n"/>
      <c r="G183" s="19" t="n"/>
      <c r="H183" s="22" t="inlineStr">
        <is>
          <t>越大越好</t>
        </is>
      </c>
      <c r="I183" s="22" t="n"/>
      <c r="J183" s="22" t="n"/>
      <c r="K183" s="23" t="inlineStr">
        <is>
          <t>目录中未找到</t>
        </is>
      </c>
      <c r="L183" s="24" t="n"/>
      <c r="M183" s="25" t="inlineStr">
        <is>
          <t>季度指标</t>
        </is>
      </c>
      <c r="N183" s="21" t="n"/>
      <c r="O183" s="21" t="n"/>
      <c r="P183" s="21" t="inlineStr">
        <is>
          <t>一览表 2026年7月末（全省，亿元/万户）</t>
        </is>
      </c>
    </row>
    <row r="184" outlineLevel="2">
      <c r="A184" s="26" t="inlineStr">
        <is>
          <t>数字金融贷款占各项贷款比</t>
        </is>
      </c>
      <c r="B184" s="18" t="inlineStr">
        <is>
          <t>比率</t>
        </is>
      </c>
      <c r="C184" s="19" t="n"/>
      <c r="D184" s="27" t="inlineStr">
        <is>
          <t>季度指标</t>
        </is>
      </c>
      <c r="E184" s="18" t="inlineStr">
        <is>
          <t>%</t>
        </is>
      </c>
      <c r="F184" s="21" t="n"/>
      <c r="G184" s="19" t="n"/>
      <c r="H184" s="22" t="inlineStr">
        <is>
          <t>越大越好</t>
        </is>
      </c>
      <c r="I184" s="22" t="inlineStr">
        <is>
          <t>数字金融贷款 ÷ 各项贷款</t>
        </is>
      </c>
      <c r="J184" s="22" t="n"/>
      <c r="K184" s="23" t="inlineStr">
        <is>
          <t>目录中未找到</t>
        </is>
      </c>
      <c r="L184" s="24" t="n"/>
      <c r="M184" s="25" t="inlineStr">
        <is>
          <t>季度指标</t>
        </is>
      </c>
      <c r="N184" s="21" t="inlineStr">
        <is>
          <t>数字金融贷款</t>
        </is>
      </c>
      <c r="O184" s="21" t="inlineStr">
        <is>
          <t>比率</t>
        </is>
      </c>
      <c r="P184" s="21" t="inlineStr">
        <is>
          <t>一览表</t>
        </is>
      </c>
    </row>
    <row r="185" outlineLevel="1">
      <c r="A185" s="17" t="inlineStr">
        <is>
          <t>养老产业贷款</t>
        </is>
      </c>
      <c r="B185" s="18" t="inlineStr">
        <is>
          <t>指标</t>
        </is>
      </c>
      <c r="C185" s="19" t="n"/>
      <c r="D185" s="20" t="inlineStr">
        <is>
          <t>季度指标</t>
        </is>
      </c>
      <c r="E185" s="18" t="inlineStr">
        <is>
          <t>亿元</t>
        </is>
      </c>
      <c r="F185" s="21" t="n"/>
      <c r="G185" s="19" t="n"/>
      <c r="H185" s="22" t="inlineStr">
        <is>
          <t>越大越好</t>
        </is>
      </c>
      <c r="I185" s="22" t="n"/>
      <c r="J185" s="22" t="n"/>
      <c r="K185" s="23" t="inlineStr">
        <is>
          <t>目录中未找到</t>
        </is>
      </c>
      <c r="L185" s="24" t="n"/>
      <c r="M185" s="25" t="inlineStr">
        <is>
          <t>季度指标</t>
        </is>
      </c>
      <c r="N185" s="21" t="n"/>
      <c r="O185" s="21" t="n"/>
      <c r="P185" s="21" t="inlineStr">
        <is>
          <t>一览表 2026年7月末（全省，亿元/万户）</t>
        </is>
      </c>
    </row>
    <row r="186" outlineLevel="2">
      <c r="A186" s="26" t="inlineStr">
        <is>
          <t>养老产业贷款占各项贷款比</t>
        </is>
      </c>
      <c r="B186" s="18" t="inlineStr">
        <is>
          <t>比率</t>
        </is>
      </c>
      <c r="C186" s="19" t="n"/>
      <c r="D186" s="27" t="inlineStr">
        <is>
          <t>季度指标</t>
        </is>
      </c>
      <c r="E186" s="18" t="inlineStr">
        <is>
          <t>%</t>
        </is>
      </c>
      <c r="F186" s="21" t="n"/>
      <c r="G186" s="19" t="n"/>
      <c r="H186" s="22" t="inlineStr">
        <is>
          <t>越大越好</t>
        </is>
      </c>
      <c r="I186" s="22" t="inlineStr">
        <is>
          <t>养老产业贷款 ÷ 各项贷款</t>
        </is>
      </c>
      <c r="J186" s="22" t="n"/>
      <c r="K186" s="23" t="inlineStr">
        <is>
          <t>目录中未找到</t>
        </is>
      </c>
      <c r="L186" s="24" t="n"/>
      <c r="M186" s="25" t="inlineStr">
        <is>
          <t>季度指标</t>
        </is>
      </c>
      <c r="N186" s="21" t="inlineStr">
        <is>
          <t>养老产业贷款</t>
        </is>
      </c>
      <c r="O186" s="21" t="inlineStr">
        <is>
          <t>比率</t>
        </is>
      </c>
      <c r="P186" s="21" t="inlineStr">
        <is>
          <t>一览表</t>
        </is>
      </c>
    </row>
    <row r="187" outlineLevel="1">
      <c r="A187" s="17" t="inlineStr">
        <is>
          <t>服务业贷款</t>
        </is>
      </c>
      <c r="B187" s="18" t="inlineStr">
        <is>
          <t>指标</t>
        </is>
      </c>
      <c r="C187" s="19" t="n"/>
      <c r="D187" s="20" t="n">
        <v>13206.67</v>
      </c>
      <c r="E187" s="18" t="inlineStr">
        <is>
          <t>亿元</t>
        </is>
      </c>
      <c r="F187" s="21" t="n"/>
      <c r="G187" s="19" t="n"/>
      <c r="H187" s="22" t="inlineStr">
        <is>
          <t>越大越好</t>
        </is>
      </c>
      <c r="I187" s="22" t="n"/>
      <c r="J187" s="22" t="n"/>
      <c r="K187" s="23" t="inlineStr">
        <is>
          <t>目录中未找到</t>
        </is>
      </c>
      <c r="L187" s="24" t="n"/>
      <c r="M187" s="25" t="n"/>
      <c r="N187" s="21" t="n"/>
      <c r="O187" s="21" t="n"/>
      <c r="P187" s="21" t="inlineStr">
        <is>
          <t>一览表 2026年7月末（全省，亿元/万户）</t>
        </is>
      </c>
    </row>
    <row r="188" outlineLevel="2">
      <c r="A188" s="29" t="inlineStr">
        <is>
          <t>〔其中项〕</t>
        </is>
      </c>
      <c r="B188" s="18" t="inlineStr">
        <is>
          <t>拆解方式</t>
        </is>
      </c>
      <c r="C188" s="18" t="n"/>
      <c r="D188" s="20" t="n"/>
      <c r="E188" s="18" t="n"/>
      <c r="F188" s="21">
        <f>IF((COUNTIFS($N$3:$N$337,N188,$O$3:$O$337,O188,$C$3:$C$337,"加")+COUNTIFS($N$3:$N$337,N188,$O$3:$O$337,O188,$C$3:$C$337,"减"))=0,"其中项，不参与加总",IF(ISNUMBER(D187)=FALSE,"上级无数值，无法校验",IF(SUMPRODUCT(($N$3:$N$337=N188)*($O$3:$O$337=O188)*(($C$3:$C$337="加")+($C$3:$C$337="减"))*(ISNUMBER($D$3:$D$337)=FALSE))&gt;0,"部分下级无数值，无法校验",IF(ABS(D187-(SUMIFS($D$3:$D$337,$N$3:$N$337,N188,$O$3:$O$337,O188,$C$3:$C$337,"加")-SUMIFS($D$3:$D$337,$N$3:$N$337,N188,$O$3:$O$337,O188,$C$3:$C$337,"减")))&lt;=MAX(0.05,ABS(D187)*0.0005),"✓ 合计与上级一致","✗ 合计与上级相差 "&amp;TEXT(D187-(SUMIFS($D$3:$D$337,$N$3:$N$337,N188,$O$3:$O$337,O188,$C$3:$C$337,"加")-SUMIFS($D$3:$D$337,$N$3:$N$337,N188,$O$3:$O$337,O188,$C$3:$C$337,"减")),"#,##0.00")))))</f>
        <v/>
      </c>
      <c r="G188" s="18" t="n"/>
      <c r="H188" s="21" t="n"/>
      <c r="I188" s="21" t="n"/>
      <c r="J188" s="21" t="n"/>
      <c r="K188" s="18" t="n"/>
      <c r="L188" s="18" t="n"/>
      <c r="M188" s="21" t="n"/>
      <c r="N188" s="21" t="inlineStr">
        <is>
          <t>服务业贷款</t>
        </is>
      </c>
      <c r="O188" s="21" t="inlineStr">
        <is>
          <t>其中项</t>
        </is>
      </c>
      <c r="P188" s="21" t="n"/>
    </row>
    <row r="189" outlineLevel="2">
      <c r="A189" s="30" t="inlineStr">
        <is>
          <t>生产性服务业贷款</t>
        </is>
      </c>
      <c r="B189" s="18" t="inlineStr">
        <is>
          <t>指标</t>
        </is>
      </c>
      <c r="C189" s="19" t="inlineStr">
        <is>
          <t>其中</t>
        </is>
      </c>
      <c r="D189" s="20" t="inlineStr">
        <is>
          <t>季度指标</t>
        </is>
      </c>
      <c r="E189" s="18" t="inlineStr">
        <is>
          <t>亿元</t>
        </is>
      </c>
      <c r="F189" s="21" t="n"/>
      <c r="G189" s="19" t="n"/>
      <c r="H189" s="22" t="inlineStr">
        <is>
          <t>越大越好</t>
        </is>
      </c>
      <c r="I189" s="22" t="n"/>
      <c r="J189" s="22" t="n"/>
      <c r="K189" s="23" t="inlineStr">
        <is>
          <t>目录中未找到</t>
        </is>
      </c>
      <c r="L189" s="24" t="n"/>
      <c r="M189" s="25" t="inlineStr">
        <is>
          <t>季度指标</t>
        </is>
      </c>
      <c r="N189" s="21" t="inlineStr">
        <is>
          <t>服务业贷款</t>
        </is>
      </c>
      <c r="O189" s="21" t="inlineStr">
        <is>
          <t>其中项</t>
        </is>
      </c>
      <c r="P189" s="21" t="inlineStr">
        <is>
          <t>一览表 2026年7月末（全省，亿元/万户）</t>
        </is>
      </c>
    </row>
    <row r="190" outlineLevel="2">
      <c r="A190" s="30" t="inlineStr">
        <is>
          <t>生活性服务业贷款</t>
        </is>
      </c>
      <c r="B190" s="18" t="inlineStr">
        <is>
          <t>指标</t>
        </is>
      </c>
      <c r="C190" s="19" t="inlineStr">
        <is>
          <t>其中</t>
        </is>
      </c>
      <c r="D190" s="20" t="inlineStr">
        <is>
          <t>季度指标</t>
        </is>
      </c>
      <c r="E190" s="18" t="inlineStr">
        <is>
          <t>亿元</t>
        </is>
      </c>
      <c r="F190" s="21" t="n"/>
      <c r="G190" s="19" t="n"/>
      <c r="H190" s="22" t="inlineStr">
        <is>
          <t>越大越好</t>
        </is>
      </c>
      <c r="I190" s="22" t="n"/>
      <c r="J190" s="22" t="n"/>
      <c r="K190" s="23" t="inlineStr">
        <is>
          <t>目录中未找到</t>
        </is>
      </c>
      <c r="L190" s="24" t="n"/>
      <c r="M190" s="25" t="inlineStr">
        <is>
          <t>季度指标</t>
        </is>
      </c>
      <c r="N190" s="21" t="inlineStr">
        <is>
          <t>服务业贷款</t>
        </is>
      </c>
      <c r="O190" s="21" t="inlineStr">
        <is>
          <t>其中项</t>
        </is>
      </c>
      <c r="P190" s="21" t="inlineStr">
        <is>
          <t>一览表 2026年7月末（全省，亿元/万户）</t>
        </is>
      </c>
    </row>
    <row r="191" ht="22" customHeight="1">
      <c r="A191" s="13" t="inlineStr">
        <is>
          <t>八、涉农重点产品</t>
        </is>
      </c>
      <c r="B191" s="14" t="inlineStr">
        <is>
          <t>板块</t>
        </is>
      </c>
      <c r="C191" s="14" t="n"/>
      <c r="D191" s="15" t="n"/>
      <c r="E191" s="14" t="n"/>
      <c r="F191" s="16" t="n"/>
      <c r="G191" s="14" t="n"/>
      <c r="H191" s="16" t="n"/>
      <c r="I191" s="16" t="n"/>
      <c r="J191" s="16" t="n"/>
      <c r="K191" s="14" t="n"/>
      <c r="L191" s="14" t="n"/>
      <c r="M191" s="16" t="n"/>
      <c r="N191" s="16" t="n"/>
      <c r="O191" s="16" t="n"/>
      <c r="P191" s="16" t="n"/>
    </row>
    <row r="192" outlineLevel="1">
      <c r="A192" s="17" t="inlineStr">
        <is>
          <t>海洋渔业贷款</t>
        </is>
      </c>
      <c r="B192" s="18" t="inlineStr">
        <is>
          <t>指标</t>
        </is>
      </c>
      <c r="C192" s="19" t="n"/>
      <c r="D192" s="20" t="inlineStr">
        <is>
          <t>季度指标</t>
        </is>
      </c>
      <c r="E192" s="18" t="inlineStr">
        <is>
          <t>亿元</t>
        </is>
      </c>
      <c r="F192" s="21" t="n"/>
      <c r="G192" s="19" t="n"/>
      <c r="H192" s="22" t="inlineStr">
        <is>
          <t>越大越好</t>
        </is>
      </c>
      <c r="I192" s="22" t="n"/>
      <c r="J192" s="22" t="n"/>
      <c r="K192" s="23" t="inlineStr">
        <is>
          <t>目录中未找到</t>
        </is>
      </c>
      <c r="L192" s="24" t="n"/>
      <c r="M192" s="25" t="inlineStr">
        <is>
          <t>季度指标</t>
        </is>
      </c>
      <c r="N192" s="21" t="n"/>
      <c r="O192" s="21" t="n"/>
      <c r="P192" s="21" t="inlineStr">
        <is>
          <t>一览表 2026年7月末（全省，亿元/万户）</t>
        </is>
      </c>
    </row>
    <row r="193" outlineLevel="2">
      <c r="A193" s="29" t="inlineStr">
        <is>
          <t>〔其中项〕</t>
        </is>
      </c>
      <c r="B193" s="18" t="inlineStr">
        <is>
          <t>拆解方式</t>
        </is>
      </c>
      <c r="C193" s="18" t="n"/>
      <c r="D193" s="20" t="n"/>
      <c r="E193" s="18" t="n"/>
      <c r="F193" s="21">
        <f>IF((COUNTIFS($N$3:$N$337,N193,$O$3:$O$337,O193,$C$3:$C$337,"加")+COUNTIFS($N$3:$N$337,N193,$O$3:$O$337,O193,$C$3:$C$337,"减"))=0,"其中项，不参与加总",IF(ISNUMBER(D192)=FALSE,"上级无数值，无法校验",IF(SUMPRODUCT(($N$3:$N$337=N193)*($O$3:$O$337=O193)*(($C$3:$C$337="加")+($C$3:$C$337="减"))*(ISNUMBER($D$3:$D$337)=FALSE))&gt;0,"部分下级无数值，无法校验",IF(ABS(D192-(SUMIFS($D$3:$D$337,$N$3:$N$337,N193,$O$3:$O$337,O193,$C$3:$C$337,"加")-SUMIFS($D$3:$D$337,$N$3:$N$337,N193,$O$3:$O$337,O193,$C$3:$C$337,"减")))&lt;=MAX(0.05,ABS(D192)*0.0005),"✓ 合计与上级一致","✗ 合计与上级相差 "&amp;TEXT(D192-(SUMIFS($D$3:$D$337,$N$3:$N$337,N193,$O$3:$O$337,O193,$C$3:$C$337,"加")-SUMIFS($D$3:$D$337,$N$3:$N$337,N193,$O$3:$O$337,O193,$C$3:$C$337,"减")),"#,##0.00")))))</f>
        <v/>
      </c>
      <c r="G193" s="18" t="n"/>
      <c r="H193" s="21" t="n"/>
      <c r="I193" s="21" t="n"/>
      <c r="J193" s="21" t="n"/>
      <c r="K193" s="18" t="n"/>
      <c r="L193" s="18" t="n"/>
      <c r="M193" s="21" t="n"/>
      <c r="N193" s="21" t="inlineStr">
        <is>
          <t>海洋渔业贷款</t>
        </is>
      </c>
      <c r="O193" s="21" t="inlineStr">
        <is>
          <t>其中项</t>
        </is>
      </c>
      <c r="P193" s="21" t="n"/>
    </row>
    <row r="194" outlineLevel="2">
      <c r="A194" s="30" t="inlineStr">
        <is>
          <t>渔港建设贷</t>
        </is>
      </c>
      <c r="B194" s="18" t="inlineStr">
        <is>
          <t>指标</t>
        </is>
      </c>
      <c r="C194" s="19" t="inlineStr">
        <is>
          <t>其中</t>
        </is>
      </c>
      <c r="D194" s="20" t="inlineStr">
        <is>
          <t>季度指标</t>
        </is>
      </c>
      <c r="E194" s="18" t="inlineStr">
        <is>
          <t>亿元</t>
        </is>
      </c>
      <c r="F194" s="21" t="n"/>
      <c r="G194" s="19" t="n"/>
      <c r="H194" s="22" t="inlineStr">
        <is>
          <t>越大越好</t>
        </is>
      </c>
      <c r="I194" s="22" t="n"/>
      <c r="J194" s="22" t="n"/>
      <c r="K194" s="23" t="inlineStr">
        <is>
          <t>目录中未找到</t>
        </is>
      </c>
      <c r="L194" s="24" t="n"/>
      <c r="M194" s="25" t="inlineStr">
        <is>
          <t>季度指标</t>
        </is>
      </c>
      <c r="N194" s="21" t="inlineStr">
        <is>
          <t>海洋渔业贷款</t>
        </is>
      </c>
      <c r="O194" s="21" t="inlineStr">
        <is>
          <t>其中项</t>
        </is>
      </c>
      <c r="P194" s="21" t="inlineStr">
        <is>
          <t>一览表 2026年7月末（全省，亿元/万户）</t>
        </is>
      </c>
    </row>
    <row r="195" outlineLevel="2">
      <c r="A195" s="30" t="inlineStr">
        <is>
          <t>海洋牧场贷</t>
        </is>
      </c>
      <c r="B195" s="18" t="inlineStr">
        <is>
          <t>指标</t>
        </is>
      </c>
      <c r="C195" s="19" t="inlineStr">
        <is>
          <t>其中</t>
        </is>
      </c>
      <c r="D195" s="20" t="inlineStr">
        <is>
          <t>季度指标</t>
        </is>
      </c>
      <c r="E195" s="18" t="inlineStr">
        <is>
          <t>亿元</t>
        </is>
      </c>
      <c r="F195" s="21" t="n"/>
      <c r="G195" s="19" t="n"/>
      <c r="H195" s="22" t="inlineStr">
        <is>
          <t>越大越好</t>
        </is>
      </c>
      <c r="I195" s="22" t="n"/>
      <c r="J195" s="22" t="n"/>
      <c r="K195" s="23" t="inlineStr">
        <is>
          <t>目录中未找到</t>
        </is>
      </c>
      <c r="L195" s="24" t="n"/>
      <c r="M195" s="25" t="inlineStr">
        <is>
          <t>季度指标</t>
        </is>
      </c>
      <c r="N195" s="21" t="inlineStr">
        <is>
          <t>海洋渔业贷款</t>
        </is>
      </c>
      <c r="O195" s="21" t="inlineStr">
        <is>
          <t>其中项</t>
        </is>
      </c>
      <c r="P195" s="21" t="inlineStr">
        <is>
          <t>一览表 2026年7月末（全省，亿元/万户）</t>
        </is>
      </c>
    </row>
    <row r="196" outlineLevel="2">
      <c r="A196" s="30" t="inlineStr">
        <is>
          <t>兴渔富民贷</t>
        </is>
      </c>
      <c r="B196" s="18" t="inlineStr">
        <is>
          <t>指标</t>
        </is>
      </c>
      <c r="C196" s="19" t="inlineStr">
        <is>
          <t>其中</t>
        </is>
      </c>
      <c r="D196" s="20" t="inlineStr">
        <is>
          <t>季度指标</t>
        </is>
      </c>
      <c r="E196" s="18" t="inlineStr">
        <is>
          <t>亿元</t>
        </is>
      </c>
      <c r="F196" s="21" t="n"/>
      <c r="G196" s="19" t="n"/>
      <c r="H196" s="22" t="inlineStr">
        <is>
          <t>越大越好</t>
        </is>
      </c>
      <c r="I196" s="22" t="n"/>
      <c r="J196" s="22" t="n"/>
      <c r="K196" s="23" t="inlineStr">
        <is>
          <t>目录中未找到</t>
        </is>
      </c>
      <c r="L196" s="24" t="n"/>
      <c r="M196" s="25" t="inlineStr">
        <is>
          <t>季度指标</t>
        </is>
      </c>
      <c r="N196" s="21" t="inlineStr">
        <is>
          <t>海洋渔业贷款</t>
        </is>
      </c>
      <c r="O196" s="21" t="inlineStr">
        <is>
          <t>其中项</t>
        </is>
      </c>
      <c r="P196" s="21" t="inlineStr">
        <is>
          <t>一览表 2026年7月末（全省，亿元/万户）</t>
        </is>
      </c>
    </row>
    <row r="197" outlineLevel="1">
      <c r="A197" s="17" t="inlineStr">
        <is>
          <t>乡旅E贷</t>
        </is>
      </c>
      <c r="B197" s="18" t="inlineStr">
        <is>
          <t>指标</t>
        </is>
      </c>
      <c r="C197" s="19" t="n"/>
      <c r="D197" s="20" t="n">
        <v>268.13</v>
      </c>
      <c r="E197" s="18" t="inlineStr">
        <is>
          <t>亿元</t>
        </is>
      </c>
      <c r="F197" s="21" t="n"/>
      <c r="G197" s="19" t="n"/>
      <c r="H197" s="22" t="inlineStr">
        <is>
          <t>越大越好</t>
        </is>
      </c>
      <c r="I197" s="22" t="n"/>
      <c r="J197" s="22" t="n"/>
      <c r="K197" s="23" t="inlineStr">
        <is>
          <t>目录中未找到</t>
        </is>
      </c>
      <c r="L197" s="24" t="n"/>
      <c r="M197" s="25" t="n"/>
      <c r="N197" s="21" t="n"/>
      <c r="O197" s="21" t="n"/>
      <c r="P197" s="21" t="inlineStr">
        <is>
          <t>一览表 2026年7月末（全省，亿元/万户）</t>
        </is>
      </c>
    </row>
    <row r="198" outlineLevel="2">
      <c r="A198" s="29" t="inlineStr">
        <is>
          <t>〔按贷款品种〕</t>
        </is>
      </c>
      <c r="B198" s="18" t="inlineStr">
        <is>
          <t>拆解方式</t>
        </is>
      </c>
      <c r="C198" s="18" t="n"/>
      <c r="D198" s="20" t="n"/>
      <c r="E198" s="18" t="n"/>
      <c r="F198" s="21">
        <f>IF((COUNTIFS($N$3:$N$337,N198,$O$3:$O$337,O198,$C$3:$C$337,"加")+COUNTIFS($N$3:$N$337,N198,$O$3:$O$337,O198,$C$3:$C$337,"减"))=0,"其中项，不参与加总",IF(ISNUMBER(D197)=FALSE,"上级无数值，无法校验",IF(SUMPRODUCT(($N$3:$N$337=N198)*($O$3:$O$337=O198)*(($C$3:$C$337="加")+($C$3:$C$337="减"))*(ISNUMBER($D$3:$D$337)=FALSE))&gt;0,"部分下级无数值，无法校验",IF(ABS(D197-(SUMIFS($D$3:$D$337,$N$3:$N$337,N198,$O$3:$O$337,O198,$C$3:$C$337,"加")-SUMIFS($D$3:$D$337,$N$3:$N$337,N198,$O$3:$O$337,O198,$C$3:$C$337,"减")))&lt;=MAX(0.05,ABS(D197)*0.0005),"✓ 合计与上级一致","✗ 合计与上级相差 "&amp;TEXT(D197-(SUMIFS($D$3:$D$337,$N$3:$N$337,N198,$O$3:$O$337,O198,$C$3:$C$337,"加")-SUMIFS($D$3:$D$337,$N$3:$N$337,N198,$O$3:$O$337,O198,$C$3:$C$337,"减")),"#,##0.00")))))</f>
        <v/>
      </c>
      <c r="G198" s="18" t="n"/>
      <c r="H198" s="21" t="n"/>
      <c r="I198" s="21" t="n"/>
      <c r="J198" s="21" t="n"/>
      <c r="K198" s="18" t="n"/>
      <c r="L198" s="18" t="n"/>
      <c r="M198" s="21" t="n"/>
      <c r="N198" s="21" t="inlineStr">
        <is>
          <t>乡旅E贷</t>
        </is>
      </c>
      <c r="O198" s="21" t="inlineStr">
        <is>
          <t>按贷款品种</t>
        </is>
      </c>
      <c r="P198" s="21" t="n"/>
    </row>
    <row r="199" outlineLevel="2">
      <c r="A199" s="30" t="inlineStr">
        <is>
          <t>乡旅E贷-项目贷</t>
        </is>
      </c>
      <c r="B199" s="18" t="inlineStr">
        <is>
          <t>指标</t>
        </is>
      </c>
      <c r="C199" s="19" t="inlineStr">
        <is>
          <t>加</t>
        </is>
      </c>
      <c r="D199" s="20" t="n">
        <v>28.18</v>
      </c>
      <c r="E199" s="18" t="inlineStr">
        <is>
          <t>亿元</t>
        </is>
      </c>
      <c r="F199" s="21" t="n"/>
      <c r="G199" s="19" t="n"/>
      <c r="H199" s="22" t="inlineStr">
        <is>
          <t>越大越好</t>
        </is>
      </c>
      <c r="I199" s="22" t="n"/>
      <c r="J199" s="22" t="n"/>
      <c r="K199" s="23" t="inlineStr">
        <is>
          <t>目录中未找到</t>
        </is>
      </c>
      <c r="L199" s="24" t="n"/>
      <c r="M199" s="25" t="n"/>
      <c r="N199" s="21" t="inlineStr">
        <is>
          <t>乡旅E贷</t>
        </is>
      </c>
      <c r="O199" s="21" t="inlineStr">
        <is>
          <t>按贷款品种</t>
        </is>
      </c>
      <c r="P199" s="21" t="inlineStr">
        <is>
          <t>一览表 2026年7月末（全省，亿元/万户）</t>
        </is>
      </c>
    </row>
    <row r="200" outlineLevel="2">
      <c r="A200" s="30" t="inlineStr">
        <is>
          <t>乡旅E贷-产业贷</t>
        </is>
      </c>
      <c r="B200" s="18" t="inlineStr">
        <is>
          <t>指标</t>
        </is>
      </c>
      <c r="C200" s="19" t="inlineStr">
        <is>
          <t>加</t>
        </is>
      </c>
      <c r="D200" s="20" t="n">
        <v>123.82</v>
      </c>
      <c r="E200" s="18" t="inlineStr">
        <is>
          <t>亿元</t>
        </is>
      </c>
      <c r="F200" s="21" t="n"/>
      <c r="G200" s="19" t="n"/>
      <c r="H200" s="22" t="inlineStr">
        <is>
          <t>越大越好</t>
        </is>
      </c>
      <c r="I200" s="22" t="n"/>
      <c r="J200" s="22" t="n"/>
      <c r="K200" s="23" t="inlineStr">
        <is>
          <t>目录中未找到</t>
        </is>
      </c>
      <c r="L200" s="24" t="n"/>
      <c r="M200" s="25" t="n"/>
      <c r="N200" s="21" t="inlineStr">
        <is>
          <t>乡旅E贷</t>
        </is>
      </c>
      <c r="O200" s="21" t="inlineStr">
        <is>
          <t>按贷款品种</t>
        </is>
      </c>
      <c r="P200" s="21" t="inlineStr">
        <is>
          <t>一览表 2026年7月末（全省，亿元/万户）</t>
        </is>
      </c>
    </row>
    <row r="201" outlineLevel="2">
      <c r="A201" s="30" t="inlineStr">
        <is>
          <t>乡旅E贷-经营贷</t>
        </is>
      </c>
      <c r="B201" s="18" t="inlineStr">
        <is>
          <t>指标</t>
        </is>
      </c>
      <c r="C201" s="19" t="inlineStr">
        <is>
          <t>加</t>
        </is>
      </c>
      <c r="D201" s="20" t="n">
        <v>114.92</v>
      </c>
      <c r="E201" s="18" t="inlineStr">
        <is>
          <t>亿元</t>
        </is>
      </c>
      <c r="F201" s="21" t="n"/>
      <c r="G201" s="19" t="n"/>
      <c r="H201" s="22" t="inlineStr">
        <is>
          <t>越大越好</t>
        </is>
      </c>
      <c r="I201" s="22" t="n"/>
      <c r="J201" s="22" t="n"/>
      <c r="K201" s="23" t="inlineStr">
        <is>
          <t>目录中未找到</t>
        </is>
      </c>
      <c r="L201" s="24" t="n"/>
      <c r="M201" s="25" t="n"/>
      <c r="N201" s="21" t="inlineStr">
        <is>
          <t>乡旅E贷</t>
        </is>
      </c>
      <c r="O201" s="21" t="inlineStr">
        <is>
          <t>按贷款品种</t>
        </is>
      </c>
      <c r="P201" s="21" t="inlineStr">
        <is>
          <t>一览表 2026年7月末（全省，亿元/万户）</t>
        </is>
      </c>
    </row>
    <row r="202" outlineLevel="2">
      <c r="A202" s="30" t="inlineStr">
        <is>
          <t>乡旅E贷-人才贷</t>
        </is>
      </c>
      <c r="B202" s="18" t="inlineStr">
        <is>
          <t>指标</t>
        </is>
      </c>
      <c r="C202" s="19" t="inlineStr">
        <is>
          <t>加</t>
        </is>
      </c>
      <c r="D202" s="20" t="n">
        <v>0</v>
      </c>
      <c r="E202" s="18" t="inlineStr">
        <is>
          <t>亿元</t>
        </is>
      </c>
      <c r="F202" s="21" t="n"/>
      <c r="G202" s="19" t="n"/>
      <c r="H202" s="22" t="inlineStr">
        <is>
          <t>越大越好</t>
        </is>
      </c>
      <c r="I202" s="22" t="n"/>
      <c r="J202" s="22" t="n"/>
      <c r="K202" s="23" t="inlineStr">
        <is>
          <t>目录中未找到</t>
        </is>
      </c>
      <c r="L202" s="24" t="n"/>
      <c r="M202" s="25" t="n"/>
      <c r="N202" s="21" t="inlineStr">
        <is>
          <t>乡旅E贷</t>
        </is>
      </c>
      <c r="O202" s="21" t="inlineStr">
        <is>
          <t>按贷款品种</t>
        </is>
      </c>
      <c r="P202" s="21" t="inlineStr">
        <is>
          <t>一览表 2026年7月末（全省，亿元/万户）</t>
        </is>
      </c>
    </row>
    <row r="203" outlineLevel="2">
      <c r="A203" s="30" t="inlineStr">
        <is>
          <t>乡旅E贷-消费贷</t>
        </is>
      </c>
      <c r="B203" s="18" t="inlineStr">
        <is>
          <t>指标</t>
        </is>
      </c>
      <c r="C203" s="19" t="inlineStr">
        <is>
          <t>加</t>
        </is>
      </c>
      <c r="D203" s="20" t="n">
        <v>1.21</v>
      </c>
      <c r="E203" s="18" t="inlineStr">
        <is>
          <t>亿元</t>
        </is>
      </c>
      <c r="F203" s="21" t="n"/>
      <c r="G203" s="19" t="n"/>
      <c r="H203" s="22" t="inlineStr">
        <is>
          <t>越大越好</t>
        </is>
      </c>
      <c r="I203" s="22" t="n"/>
      <c r="J203" s="22" t="n"/>
      <c r="K203" s="23" t="inlineStr">
        <is>
          <t>目录中未找到</t>
        </is>
      </c>
      <c r="L203" s="24" t="n"/>
      <c r="M203" s="25" t="n"/>
      <c r="N203" s="21" t="inlineStr">
        <is>
          <t>乡旅E贷</t>
        </is>
      </c>
      <c r="O203" s="21" t="inlineStr">
        <is>
          <t>按贷款品种</t>
        </is>
      </c>
      <c r="P203" s="21" t="inlineStr">
        <is>
          <t>一览表 2026年7月末（全省，亿元/万户）</t>
        </is>
      </c>
    </row>
    <row r="204" outlineLevel="1">
      <c r="A204" s="17" t="inlineStr">
        <is>
          <t>海洋产业贴息贷款</t>
        </is>
      </c>
      <c r="B204" s="18" t="inlineStr">
        <is>
          <t>指标</t>
        </is>
      </c>
      <c r="C204" s="19" t="n"/>
      <c r="D204" s="20" t="n">
        <v>0</v>
      </c>
      <c r="E204" s="18" t="inlineStr">
        <is>
          <t>亿元</t>
        </is>
      </c>
      <c r="F204" s="21" t="n"/>
      <c r="G204" s="19" t="n"/>
      <c r="H204" s="22" t="inlineStr">
        <is>
          <t>越大越好</t>
        </is>
      </c>
      <c r="I204" s="22" t="n"/>
      <c r="J204" s="22" t="n"/>
      <c r="K204" s="23" t="inlineStr">
        <is>
          <t>目录中未找到</t>
        </is>
      </c>
      <c r="L204" s="24" t="n"/>
      <c r="M204" s="25" t="n"/>
      <c r="N204" s="21" t="n"/>
      <c r="O204" s="21" t="n"/>
      <c r="P204" s="21" t="inlineStr">
        <is>
          <t>一览表 2026年7月末（全省，亿元/万户）</t>
        </is>
      </c>
    </row>
    <row r="205" outlineLevel="1">
      <c r="A205" s="17" t="inlineStr">
        <is>
          <t>现代设施农业建设贷款</t>
        </is>
      </c>
      <c r="B205" s="18" t="inlineStr">
        <is>
          <t>指标</t>
        </is>
      </c>
      <c r="C205" s="19" t="n"/>
      <c r="D205" s="20" t="n">
        <v>2.49</v>
      </c>
      <c r="E205" s="18" t="inlineStr">
        <is>
          <t>亿元</t>
        </is>
      </c>
      <c r="F205" s="21" t="n"/>
      <c r="G205" s="19" t="n"/>
      <c r="H205" s="22" t="inlineStr">
        <is>
          <t>越大越好</t>
        </is>
      </c>
      <c r="I205" s="22" t="n"/>
      <c r="J205" s="22" t="n"/>
      <c r="K205" s="23" t="inlineStr">
        <is>
          <t>目录中未找到</t>
        </is>
      </c>
      <c r="L205" s="24" t="n"/>
      <c r="M205" s="25" t="n"/>
      <c r="N205" s="21" t="n"/>
      <c r="O205" s="21" t="n"/>
      <c r="P205" s="21" t="inlineStr">
        <is>
          <t>一览表 2026年7月末（全省，亿元/万户）</t>
        </is>
      </c>
    </row>
    <row r="206" outlineLevel="1">
      <c r="A206" s="17" t="inlineStr">
        <is>
          <t>苏村贷</t>
        </is>
      </c>
      <c r="B206" s="18" t="inlineStr">
        <is>
          <t>指标</t>
        </is>
      </c>
      <c r="C206" s="19" t="n"/>
      <c r="D206" s="20" t="n">
        <v>0</v>
      </c>
      <c r="E206" s="18" t="inlineStr">
        <is>
          <t>亿元</t>
        </is>
      </c>
      <c r="F206" s="21" t="n"/>
      <c r="G206" s="19" t="n"/>
      <c r="H206" s="22" t="inlineStr">
        <is>
          <t>越大越好</t>
        </is>
      </c>
      <c r="I206" s="22" t="n"/>
      <c r="J206" s="22" t="n"/>
      <c r="K206" s="23" t="inlineStr">
        <is>
          <t>目录中未找到</t>
        </is>
      </c>
      <c r="L206" s="24" t="n"/>
      <c r="M206" s="25" t="n"/>
      <c r="N206" s="21" t="n"/>
      <c r="O206" s="21" t="n"/>
      <c r="P206" s="21" t="inlineStr">
        <is>
          <t>一览表 2026年7月末（全省，亿元/万户）</t>
        </is>
      </c>
    </row>
    <row r="207" outlineLevel="1">
      <c r="A207" s="17" t="inlineStr">
        <is>
          <t>兴村强体贷</t>
        </is>
      </c>
      <c r="B207" s="18" t="inlineStr">
        <is>
          <t>指标</t>
        </is>
      </c>
      <c r="C207" s="19" t="n"/>
      <c r="D207" s="20" t="inlineStr">
        <is>
          <t>季度指标</t>
        </is>
      </c>
      <c r="E207" s="18" t="inlineStr">
        <is>
          <t>亿元</t>
        </is>
      </c>
      <c r="F207" s="21" t="n"/>
      <c r="G207" s="19" t="n"/>
      <c r="H207" s="22" t="inlineStr">
        <is>
          <t>越大越好</t>
        </is>
      </c>
      <c r="I207" s="22" t="n"/>
      <c r="J207" s="22" t="n"/>
      <c r="K207" s="23" t="inlineStr">
        <is>
          <t>目录中未找到</t>
        </is>
      </c>
      <c r="L207" s="24" t="n"/>
      <c r="M207" s="25" t="inlineStr">
        <is>
          <t>季度指标</t>
        </is>
      </c>
      <c r="N207" s="21" t="n"/>
      <c r="O207" s="21" t="n"/>
      <c r="P207" s="21" t="inlineStr">
        <is>
          <t>一览表 2026年7月末（全省，亿元/万户）</t>
        </is>
      </c>
    </row>
    <row r="208" outlineLevel="1">
      <c r="A208" s="17" t="inlineStr">
        <is>
          <t>苏农贷</t>
        </is>
      </c>
      <c r="B208" s="18" t="inlineStr">
        <is>
          <t>指标</t>
        </is>
      </c>
      <c r="C208" s="19" t="n"/>
      <c r="D208" s="20" t="n">
        <v>15.9</v>
      </c>
      <c r="E208" s="18" t="inlineStr">
        <is>
          <t>亿元</t>
        </is>
      </c>
      <c r="F208" s="21" t="n"/>
      <c r="G208" s="19" t="n"/>
      <c r="H208" s="22" t="inlineStr">
        <is>
          <t>越大越好</t>
        </is>
      </c>
      <c r="I208" s="22" t="n"/>
      <c r="J208" s="22" t="n"/>
      <c r="K208" s="23" t="inlineStr">
        <is>
          <t>目录中未找到</t>
        </is>
      </c>
      <c r="L208" s="24" t="n"/>
      <c r="M208" s="25" t="n"/>
      <c r="N208" s="21" t="n"/>
      <c r="O208" s="21" t="n"/>
      <c r="P208" s="21" t="inlineStr">
        <is>
          <t>一览表 2026年7月末（全省，亿元/万户）</t>
        </is>
      </c>
    </row>
    <row r="209" outlineLevel="1">
      <c r="A209" s="17" t="inlineStr">
        <is>
          <t>农担惠农快贷</t>
        </is>
      </c>
      <c r="B209" s="18" t="inlineStr">
        <is>
          <t>指标</t>
        </is>
      </c>
      <c r="C209" s="19" t="n"/>
      <c r="D209" s="20" t="n">
        <v>143</v>
      </c>
      <c r="E209" s="18" t="inlineStr">
        <is>
          <t>亿元</t>
        </is>
      </c>
      <c r="F209" s="21" t="n"/>
      <c r="G209" s="19" t="n"/>
      <c r="H209" s="22" t="inlineStr">
        <is>
          <t>越大越好</t>
        </is>
      </c>
      <c r="I209" s="22" t="n"/>
      <c r="J209" s="22" t="n"/>
      <c r="K209" s="23" t="inlineStr">
        <is>
          <t>目录中未找到</t>
        </is>
      </c>
      <c r="L209" s="24" t="n"/>
      <c r="M209" s="25" t="n"/>
      <c r="N209" s="21" t="n"/>
      <c r="O209" s="21" t="n"/>
      <c r="P209" s="21" t="inlineStr">
        <is>
          <t>一览表 2026年7月末（全省，亿元/万户）</t>
        </is>
      </c>
    </row>
    <row r="210" outlineLevel="1">
      <c r="A210" s="17" t="inlineStr">
        <is>
          <t>富农易贷</t>
        </is>
      </c>
      <c r="B210" s="18" t="inlineStr">
        <is>
          <t>指标</t>
        </is>
      </c>
      <c r="C210" s="19" t="n"/>
      <c r="D210" s="20" t="n">
        <v>1285.4</v>
      </c>
      <c r="E210" s="18" t="inlineStr">
        <is>
          <t>亿元</t>
        </is>
      </c>
      <c r="F210" s="21" t="n"/>
      <c r="G210" s="19" t="n"/>
      <c r="H210" s="22" t="inlineStr">
        <is>
          <t>越大越好</t>
        </is>
      </c>
      <c r="I210" s="22" t="n"/>
      <c r="J210" s="22" t="n"/>
      <c r="K210" s="23" t="inlineStr">
        <is>
          <t>目录中未找到</t>
        </is>
      </c>
      <c r="L210" s="24" t="n"/>
      <c r="M210" s="25" t="n"/>
      <c r="N210" s="21" t="n"/>
      <c r="O210" s="21" t="n"/>
      <c r="P210" s="21" t="inlineStr">
        <is>
          <t>一览表 2026年7月末（全省，亿元/万户）</t>
        </is>
      </c>
    </row>
    <row r="211" outlineLevel="1">
      <c r="A211" s="17" t="inlineStr">
        <is>
          <t>帮扶小额信贷</t>
        </is>
      </c>
      <c r="B211" s="18" t="inlineStr">
        <is>
          <t>指标</t>
        </is>
      </c>
      <c r="C211" s="19" t="n"/>
      <c r="D211" s="20" t="n">
        <v>50.86</v>
      </c>
      <c r="E211" s="18" t="inlineStr">
        <is>
          <t>亿元</t>
        </is>
      </c>
      <c r="F211" s="21" t="n"/>
      <c r="G211" s="19" t="n"/>
      <c r="H211" s="22" t="inlineStr">
        <is>
          <t>越大越好</t>
        </is>
      </c>
      <c r="I211" s="22" t="n"/>
      <c r="J211" s="22" t="n"/>
      <c r="K211" s="23" t="inlineStr">
        <is>
          <t>目录中未找到</t>
        </is>
      </c>
      <c r="L211" s="24" t="n"/>
      <c r="M211" s="25" t="n"/>
      <c r="N211" s="21" t="n"/>
      <c r="O211" s="21" t="n"/>
      <c r="P211" s="21" t="inlineStr">
        <is>
          <t>一览表 2026年7月末（全省，亿元/万户）</t>
        </is>
      </c>
    </row>
    <row r="212" outlineLevel="1">
      <c r="A212" s="17" t="inlineStr">
        <is>
          <t>农商苏青贷</t>
        </is>
      </c>
      <c r="B212" s="18" t="inlineStr">
        <is>
          <t>指标</t>
        </is>
      </c>
      <c r="C212" s="19" t="n"/>
      <c r="D212" s="20" t="n">
        <v>262.3</v>
      </c>
      <c r="E212" s="18" t="inlineStr">
        <is>
          <t>亿元</t>
        </is>
      </c>
      <c r="F212" s="21" t="n"/>
      <c r="G212" s="19" t="n"/>
      <c r="H212" s="22" t="inlineStr">
        <is>
          <t>越大越好</t>
        </is>
      </c>
      <c r="I212" s="22" t="n"/>
      <c r="J212" s="22" t="n"/>
      <c r="K212" s="23" t="inlineStr">
        <is>
          <t>目录中未找到</t>
        </is>
      </c>
      <c r="L212" s="24" t="n"/>
      <c r="M212" s="25" t="n"/>
      <c r="N212" s="21" t="n"/>
      <c r="O212" s="21" t="n"/>
      <c r="P212" s="21" t="inlineStr">
        <is>
          <t>一览表 2026年7月末（全省，亿元/万户）</t>
        </is>
      </c>
    </row>
    <row r="213" outlineLevel="1">
      <c r="A213" s="17" t="inlineStr">
        <is>
          <t>四好农路贷</t>
        </is>
      </c>
      <c r="B213" s="18" t="inlineStr">
        <is>
          <t>指标</t>
        </is>
      </c>
      <c r="C213" s="19" t="n"/>
      <c r="D213" s="20" t="inlineStr">
        <is>
          <t>季度指标</t>
        </is>
      </c>
      <c r="E213" s="18" t="inlineStr">
        <is>
          <t>亿元</t>
        </is>
      </c>
      <c r="F213" s="21" t="n"/>
      <c r="G213" s="19" t="n"/>
      <c r="H213" s="22" t="inlineStr">
        <is>
          <t>越大越好</t>
        </is>
      </c>
      <c r="I213" s="22" t="n"/>
      <c r="J213" s="22" t="n"/>
      <c r="K213" s="23" t="inlineStr">
        <is>
          <t>目录中未找到</t>
        </is>
      </c>
      <c r="L213" s="24" t="n"/>
      <c r="M213" s="25" t="inlineStr">
        <is>
          <t>季度指标</t>
        </is>
      </c>
      <c r="N213" s="21" t="n"/>
      <c r="O213" s="21" t="n"/>
      <c r="P213" s="21" t="inlineStr">
        <is>
          <t>一览表 2026年7月末（全省，亿元/万户）</t>
        </is>
      </c>
    </row>
    <row r="214" ht="22" customHeight="1">
      <c r="A214" s="13" t="inlineStr">
        <is>
          <t>九、风险</t>
        </is>
      </c>
      <c r="B214" s="14" t="inlineStr">
        <is>
          <t>板块</t>
        </is>
      </c>
      <c r="C214" s="14" t="n"/>
      <c r="D214" s="15" t="n"/>
      <c r="E214" s="14" t="n"/>
      <c r="F214" s="16" t="n"/>
      <c r="G214" s="14" t="n"/>
      <c r="H214" s="16" t="n"/>
      <c r="I214" s="16" t="n"/>
      <c r="J214" s="16" t="n"/>
      <c r="K214" s="14" t="n"/>
      <c r="L214" s="14" t="n"/>
      <c r="M214" s="16" t="n"/>
      <c r="N214" s="16" t="n"/>
      <c r="O214" s="16" t="n"/>
      <c r="P214" s="16" t="n"/>
    </row>
    <row r="215" outlineLevel="1">
      <c r="A215" s="17" t="inlineStr">
        <is>
          <t>不良贷款</t>
        </is>
      </c>
      <c r="B215" s="18" t="inlineStr">
        <is>
          <t>指标</t>
        </is>
      </c>
      <c r="C215" s="19" t="n"/>
      <c r="D215" s="20" t="n">
        <v>428.44</v>
      </c>
      <c r="E215" s="18" t="inlineStr">
        <is>
          <t>亿元</t>
        </is>
      </c>
      <c r="F215" s="21" t="n"/>
      <c r="G215" s="19" t="inlineStr">
        <is>
          <t>是</t>
        </is>
      </c>
      <c r="H215" s="22" t="inlineStr">
        <is>
          <t>越小越好</t>
        </is>
      </c>
      <c r="I215" s="22" t="n"/>
      <c r="J215" s="22" t="inlineStr">
        <is>
          <t>不良贷款余额</t>
        </is>
      </c>
      <c r="K215" s="28" t="inlineStr">
        <is>
          <t>完全一致</t>
        </is>
      </c>
      <c r="L215" s="24" t="n"/>
      <c r="M215" s="25" t="n"/>
      <c r="N215" s="21" t="n"/>
      <c r="O215" s="21" t="n"/>
      <c r="P215" s="21" t="inlineStr">
        <is>
          <t>一览表 2026年7月末（全省，亿元/万户）</t>
        </is>
      </c>
    </row>
    <row r="216" outlineLevel="2">
      <c r="A216" s="26" t="inlineStr">
        <is>
          <t>不良贷款率</t>
        </is>
      </c>
      <c r="B216" s="18" t="inlineStr">
        <is>
          <t>比率</t>
        </is>
      </c>
      <c r="C216" s="19" t="n"/>
      <c r="D216" s="27" t="n">
        <v>0.01</v>
      </c>
      <c r="E216" s="18" t="inlineStr">
        <is>
          <t>%</t>
        </is>
      </c>
      <c r="F216" s="21" t="n"/>
      <c r="G216" s="19" t="n"/>
      <c r="H216" s="22" t="inlineStr">
        <is>
          <t>越小越好</t>
        </is>
      </c>
      <c r="I216" s="22" t="inlineStr">
        <is>
          <t>不良贷款 ÷ 各项贷款（请确认分母口径）</t>
        </is>
      </c>
      <c r="J216" s="22" t="inlineStr">
        <is>
          <t>不良贷款比率</t>
        </is>
      </c>
      <c r="K216" s="28" t="inlineStr">
        <is>
          <t>完全一致</t>
        </is>
      </c>
      <c r="L216" s="24" t="n"/>
      <c r="M216" s="25" t="inlineStr">
        <is>
          <t>监管要求 ≤5%</t>
        </is>
      </c>
      <c r="N216" s="21" t="inlineStr">
        <is>
          <t>不良贷款</t>
        </is>
      </c>
      <c r="O216" s="21" t="inlineStr">
        <is>
          <t>比率</t>
        </is>
      </c>
      <c r="P216" s="21" t="inlineStr">
        <is>
          <t>一览表</t>
        </is>
      </c>
    </row>
    <row r="217" outlineLevel="2">
      <c r="A217" s="29" t="inlineStr">
        <is>
          <t>〔按客户类型〕</t>
        </is>
      </c>
      <c r="B217" s="18" t="inlineStr">
        <is>
          <t>拆解方式</t>
        </is>
      </c>
      <c r="C217" s="18" t="n"/>
      <c r="D217" s="20" t="n"/>
      <c r="E217" s="18" t="n"/>
      <c r="F217" s="21">
        <f>IF((COUNTIFS($N$3:$N$337,N217,$O$3:$O$337,O217,$C$3:$C$337,"加")+COUNTIFS($N$3:$N$337,N217,$O$3:$O$337,O217,$C$3:$C$337,"减"))=0,"其中项，不参与加总",IF(ISNUMBER(D215)=FALSE,"上级无数值，无法校验",IF(SUMPRODUCT(($N$3:$N$337=N217)*($O$3:$O$337=O217)*(($C$3:$C$337="加")+($C$3:$C$337="减"))*(ISNUMBER($D$3:$D$337)=FALSE))&gt;0,"部分下级无数值，无法校验",IF(ABS(D215-(SUMIFS($D$3:$D$337,$N$3:$N$337,N217,$O$3:$O$337,O217,$C$3:$C$337,"加")-SUMIFS($D$3:$D$337,$N$3:$N$337,N217,$O$3:$O$337,O217,$C$3:$C$337,"减")))&lt;=MAX(0.05,ABS(D215)*0.0005),"✓ 合计与上级一致","✗ 合计与上级相差 "&amp;TEXT(D215-(SUMIFS($D$3:$D$337,$N$3:$N$337,N217,$O$3:$O$337,O217,$C$3:$C$337,"加")-SUMIFS($D$3:$D$337,$N$3:$N$337,N217,$O$3:$O$337,O217,$C$3:$C$337,"减")),"#,##0.00")))))</f>
        <v/>
      </c>
      <c r="G217" s="18" t="n"/>
      <c r="H217" s="21" t="n"/>
      <c r="I217" s="21" t="n"/>
      <c r="J217" s="21" t="n"/>
      <c r="K217" s="18" t="n"/>
      <c r="L217" s="18" t="n"/>
      <c r="M217" s="21" t="n"/>
      <c r="N217" s="21" t="inlineStr">
        <is>
          <t>不良贷款</t>
        </is>
      </c>
      <c r="O217" s="21" t="inlineStr">
        <is>
          <t>按客户类型</t>
        </is>
      </c>
      <c r="P217" s="21" t="n"/>
    </row>
    <row r="218" outlineLevel="2">
      <c r="A218" s="30" t="inlineStr">
        <is>
          <t>企业不良贷款</t>
        </is>
      </c>
      <c r="B218" s="18" t="inlineStr">
        <is>
          <t>指标</t>
        </is>
      </c>
      <c r="C218" s="19" t="inlineStr">
        <is>
          <t>加</t>
        </is>
      </c>
      <c r="D218" s="20" t="n">
        <v>153.3</v>
      </c>
      <c r="E218" s="18" t="inlineStr">
        <is>
          <t>亿元</t>
        </is>
      </c>
      <c r="F218" s="21" t="n"/>
      <c r="G218" s="19" t="n"/>
      <c r="H218" s="22" t="inlineStr">
        <is>
          <t>越小越好</t>
        </is>
      </c>
      <c r="I218" s="22" t="n"/>
      <c r="J218" s="22" t="n"/>
      <c r="K218" s="23" t="inlineStr">
        <is>
          <t>目录中未找到</t>
        </is>
      </c>
      <c r="L218" s="24" t="n"/>
      <c r="M218" s="25" t="n"/>
      <c r="N218" s="21" t="inlineStr">
        <is>
          <t>不良贷款</t>
        </is>
      </c>
      <c r="O218" s="21" t="inlineStr">
        <is>
          <t>按客户类型</t>
        </is>
      </c>
      <c r="P218" s="21" t="inlineStr">
        <is>
          <t>一览表 2026年7月末（全省，亿元/万户）</t>
        </is>
      </c>
    </row>
    <row r="219" outlineLevel="3">
      <c r="A219" s="31" t="inlineStr">
        <is>
          <t>企业不良贷款率</t>
        </is>
      </c>
      <c r="B219" s="18" t="inlineStr">
        <is>
          <t>比率</t>
        </is>
      </c>
      <c r="C219" s="19" t="n"/>
      <c r="D219" s="27" t="n">
        <v>0.01</v>
      </c>
      <c r="E219" s="18" t="inlineStr">
        <is>
          <t>%</t>
        </is>
      </c>
      <c r="F219" s="21" t="n"/>
      <c r="G219" s="19" t="n"/>
      <c r="H219" s="22" t="inlineStr">
        <is>
          <t>越小越好</t>
        </is>
      </c>
      <c r="I219" s="22" t="inlineStr">
        <is>
          <t>企业不良贷款 ÷ 企业贷款（请确认分母）</t>
        </is>
      </c>
      <c r="J219" s="22" t="n"/>
      <c r="K219" s="23" t="inlineStr">
        <is>
          <t>目录中未找到</t>
        </is>
      </c>
      <c r="L219" s="24" t="n"/>
      <c r="M219" s="25" t="n"/>
      <c r="N219" s="21" t="inlineStr">
        <is>
          <t>企业不良贷款</t>
        </is>
      </c>
      <c r="O219" s="21" t="inlineStr">
        <is>
          <t>比率</t>
        </is>
      </c>
      <c r="P219" s="21" t="inlineStr">
        <is>
          <t>一览表</t>
        </is>
      </c>
    </row>
    <row r="220" outlineLevel="2">
      <c r="A220" s="30" t="inlineStr">
        <is>
          <t>个人不良贷款</t>
        </is>
      </c>
      <c r="B220" s="18" t="inlineStr">
        <is>
          <t>指标</t>
        </is>
      </c>
      <c r="C220" s="19" t="inlineStr">
        <is>
          <t>加</t>
        </is>
      </c>
      <c r="D220" s="20" t="n">
        <v>275.14</v>
      </c>
      <c r="E220" s="18" t="inlineStr">
        <is>
          <t>亿元</t>
        </is>
      </c>
      <c r="F220" s="21" t="n"/>
      <c r="G220" s="19" t="n"/>
      <c r="H220" s="22" t="inlineStr">
        <is>
          <t>越小越好</t>
        </is>
      </c>
      <c r="I220" s="22" t="n"/>
      <c r="J220" s="22" t="n"/>
      <c r="K220" s="23" t="inlineStr">
        <is>
          <t>目录中未找到</t>
        </is>
      </c>
      <c r="L220" s="24" t="n"/>
      <c r="M220" s="25" t="n"/>
      <c r="N220" s="21" t="inlineStr">
        <is>
          <t>不良贷款</t>
        </is>
      </c>
      <c r="O220" s="21" t="inlineStr">
        <is>
          <t>按客户类型</t>
        </is>
      </c>
      <c r="P220" s="21" t="inlineStr">
        <is>
          <t>一览表 2026年7月末（全省，亿元/万户）</t>
        </is>
      </c>
    </row>
    <row r="221" outlineLevel="3">
      <c r="A221" s="31" t="inlineStr">
        <is>
          <t>个人不良贷款率</t>
        </is>
      </c>
      <c r="B221" s="18" t="inlineStr">
        <is>
          <t>比率</t>
        </is>
      </c>
      <c r="C221" s="19" t="n"/>
      <c r="D221" s="27" t="n">
        <v>0.03</v>
      </c>
      <c r="E221" s="18" t="inlineStr">
        <is>
          <t>%</t>
        </is>
      </c>
      <c r="F221" s="21" t="n"/>
      <c r="G221" s="19" t="n"/>
      <c r="H221" s="22" t="inlineStr">
        <is>
          <t>越小越好</t>
        </is>
      </c>
      <c r="I221" s="22" t="inlineStr">
        <is>
          <t>个人不良贷款 ÷ 个人贷款</t>
        </is>
      </c>
      <c r="J221" s="22" t="n"/>
      <c r="K221" s="23" t="inlineStr">
        <is>
          <t>目录中未找到</t>
        </is>
      </c>
      <c r="L221" s="24" t="n"/>
      <c r="M221" s="25" t="n"/>
      <c r="N221" s="21" t="inlineStr">
        <is>
          <t>个人不良贷款</t>
        </is>
      </c>
      <c r="O221" s="21" t="inlineStr">
        <is>
          <t>比率</t>
        </is>
      </c>
      <c r="P221" s="21" t="inlineStr">
        <is>
          <t>一览表</t>
        </is>
      </c>
    </row>
    <row r="222" outlineLevel="1">
      <c r="A222" s="17" t="inlineStr">
        <is>
          <t>当年新形成不良贷款</t>
        </is>
      </c>
      <c r="B222" s="18" t="inlineStr">
        <is>
          <t>指标</t>
        </is>
      </c>
      <c r="C222" s="19" t="n"/>
      <c r="D222" s="20" t="n">
        <v>256.53</v>
      </c>
      <c r="E222" s="18" t="inlineStr">
        <is>
          <t>亿元</t>
        </is>
      </c>
      <c r="F222" s="21" t="n"/>
      <c r="G222" s="19" t="inlineStr">
        <is>
          <t>是</t>
        </is>
      </c>
      <c r="H222" s="22" t="inlineStr">
        <is>
          <t>越小越好</t>
        </is>
      </c>
      <c r="I222" s="22" t="n"/>
      <c r="J222" s="22" t="inlineStr">
        <is>
          <t>当年新形成不良贷款余额</t>
        </is>
      </c>
      <c r="K222" s="28" t="inlineStr">
        <is>
          <t>完全一致</t>
        </is>
      </c>
      <c r="L222" s="24" t="n"/>
      <c r="M222" s="25" t="inlineStr">
        <is>
          <t>报表按较同期展示</t>
        </is>
      </c>
      <c r="N222" s="21" t="n"/>
      <c r="O222" s="21" t="n"/>
      <c r="P222" s="21" t="inlineStr">
        <is>
          <t>一览表 2026年7月末（全省，亿元/万户）</t>
        </is>
      </c>
    </row>
    <row r="223" outlineLevel="2">
      <c r="A223" s="29" t="inlineStr">
        <is>
          <t>〔按客户类型〕</t>
        </is>
      </c>
      <c r="B223" s="18" t="inlineStr">
        <is>
          <t>拆解方式</t>
        </is>
      </c>
      <c r="C223" s="18" t="n"/>
      <c r="D223" s="20" t="n"/>
      <c r="E223" s="18" t="n"/>
      <c r="F223" s="21">
        <f>IF((COUNTIFS($N$3:$N$337,N223,$O$3:$O$337,O223,$C$3:$C$337,"加")+COUNTIFS($N$3:$N$337,N223,$O$3:$O$337,O223,$C$3:$C$337,"减"))=0,"其中项，不参与加总",IF(ISNUMBER(D222)=FALSE,"上级无数值，无法校验",IF(SUMPRODUCT(($N$3:$N$337=N223)*($O$3:$O$337=O223)*(($C$3:$C$337="加")+($C$3:$C$337="减"))*(ISNUMBER($D$3:$D$337)=FALSE))&gt;0,"部分下级无数值，无法校验",IF(ABS(D222-(SUMIFS($D$3:$D$337,$N$3:$N$337,N223,$O$3:$O$337,O223,$C$3:$C$337,"加")-SUMIFS($D$3:$D$337,$N$3:$N$337,N223,$O$3:$O$337,O223,$C$3:$C$337,"减")))&lt;=MAX(0.05,ABS(D222)*0.0005),"✓ 合计与上级一致","✗ 合计与上级相差 "&amp;TEXT(D222-(SUMIFS($D$3:$D$337,$N$3:$N$337,N223,$O$3:$O$337,O223,$C$3:$C$337,"加")-SUMIFS($D$3:$D$337,$N$3:$N$337,N223,$O$3:$O$337,O223,$C$3:$C$337,"减")),"#,##0.00")))))</f>
        <v/>
      </c>
      <c r="G223" s="18" t="n"/>
      <c r="H223" s="21" t="n"/>
      <c r="I223" s="21" t="n"/>
      <c r="J223" s="21" t="n"/>
      <c r="K223" s="18" t="n"/>
      <c r="L223" s="18" t="n"/>
      <c r="M223" s="21" t="n"/>
      <c r="N223" s="21" t="inlineStr">
        <is>
          <t>当年新形成不良贷款</t>
        </is>
      </c>
      <c r="O223" s="21" t="inlineStr">
        <is>
          <t>按客户类型</t>
        </is>
      </c>
      <c r="P223" s="21" t="n"/>
    </row>
    <row r="224" outlineLevel="2">
      <c r="A224" s="30" t="inlineStr">
        <is>
          <t>当年新形成个人不良贷款</t>
        </is>
      </c>
      <c r="B224" s="18" t="inlineStr">
        <is>
          <t>指标</t>
        </is>
      </c>
      <c r="C224" s="19" t="inlineStr">
        <is>
          <t>加</t>
        </is>
      </c>
      <c r="D224" s="20" t="n">
        <v>157.42</v>
      </c>
      <c r="E224" s="18" t="inlineStr">
        <is>
          <t>亿元</t>
        </is>
      </c>
      <c r="F224" s="21" t="n"/>
      <c r="G224" s="19" t="n"/>
      <c r="H224" s="22" t="inlineStr">
        <is>
          <t>越小越好</t>
        </is>
      </c>
      <c r="I224" s="22" t="n"/>
      <c r="J224" s="22" t="n"/>
      <c r="K224" s="23" t="inlineStr">
        <is>
          <t>目录中未找到</t>
        </is>
      </c>
      <c r="L224" s="24" t="n"/>
      <c r="M224" s="25" t="n"/>
      <c r="N224" s="21" t="inlineStr">
        <is>
          <t>当年新形成不良贷款</t>
        </is>
      </c>
      <c r="O224" s="21" t="inlineStr">
        <is>
          <t>按客户类型</t>
        </is>
      </c>
      <c r="P224" s="21" t="inlineStr">
        <is>
          <t>一览表 2026年7月末（全省，亿元/万户）</t>
        </is>
      </c>
    </row>
    <row r="225" outlineLevel="2">
      <c r="A225" s="30" t="inlineStr">
        <is>
          <t>当年新形成企业不良贷款</t>
        </is>
      </c>
      <c r="B225" s="18" t="inlineStr">
        <is>
          <t>指标</t>
        </is>
      </c>
      <c r="C225" s="19" t="inlineStr">
        <is>
          <t>加</t>
        </is>
      </c>
      <c r="D225" s="20" t="n">
        <v>99.11</v>
      </c>
      <c r="E225" s="18" t="inlineStr">
        <is>
          <t>亿元</t>
        </is>
      </c>
      <c r="F225" s="21" t="n"/>
      <c r="G225" s="19" t="n"/>
      <c r="H225" s="22" t="inlineStr">
        <is>
          <t>越小越好</t>
        </is>
      </c>
      <c r="I225" s="22" t="n"/>
      <c r="J225" s="22" t="n"/>
      <c r="K225" s="23" t="inlineStr">
        <is>
          <t>目录中未找到</t>
        </is>
      </c>
      <c r="L225" s="24" t="n"/>
      <c r="M225" s="25" t="n"/>
      <c r="N225" s="21" t="inlineStr">
        <is>
          <t>当年新形成不良贷款</t>
        </is>
      </c>
      <c r="O225" s="21" t="inlineStr">
        <is>
          <t>按客户类型</t>
        </is>
      </c>
      <c r="P225" s="21" t="inlineStr">
        <is>
          <t>一览表 2026年7月末（全省，亿元/万户）</t>
        </is>
      </c>
    </row>
    <row r="226" outlineLevel="1">
      <c r="A226" s="17" t="inlineStr">
        <is>
          <t>当年新形成不良贷款率</t>
        </is>
      </c>
      <c r="B226" s="18" t="inlineStr">
        <is>
          <t>指标</t>
        </is>
      </c>
      <c r="C226" s="19" t="n"/>
      <c r="D226" s="27" t="n">
        <v>0.01</v>
      </c>
      <c r="E226" s="18" t="inlineStr">
        <is>
          <t>%</t>
        </is>
      </c>
      <c r="F226" s="21" t="n"/>
      <c r="G226" s="19" t="n"/>
      <c r="H226" s="22" t="inlineStr">
        <is>
          <t>越小越好</t>
        </is>
      </c>
      <c r="I226" s="22" t="n"/>
      <c r="J226" s="22" t="inlineStr">
        <is>
          <t>当年新形成不良贷款余额占比</t>
        </is>
      </c>
      <c r="K226" s="32" t="inlineStr">
        <is>
          <t>近似，请核对</t>
        </is>
      </c>
      <c r="L226" s="24" t="n"/>
      <c r="M226" s="25" t="inlineStr">
        <is>
          <t>报表按较同期展示</t>
        </is>
      </c>
      <c r="N226" s="21" t="n"/>
      <c r="O226" s="21" t="n"/>
      <c r="P226" s="21" t="inlineStr">
        <is>
          <t>一览表 2026年7月末（全省，亿元/万户）</t>
        </is>
      </c>
    </row>
    <row r="227" outlineLevel="1">
      <c r="A227" s="17" t="inlineStr">
        <is>
          <t>当年新形成个人不良贷款率</t>
        </is>
      </c>
      <c r="B227" s="18" t="inlineStr">
        <is>
          <t>指标</t>
        </is>
      </c>
      <c r="C227" s="19" t="n"/>
      <c r="D227" s="27" t="n">
        <v>0.01</v>
      </c>
      <c r="E227" s="18" t="inlineStr">
        <is>
          <t>%</t>
        </is>
      </c>
      <c r="F227" s="21" t="n"/>
      <c r="G227" s="19" t="n"/>
      <c r="H227" s="22" t="inlineStr">
        <is>
          <t>越小越好</t>
        </is>
      </c>
      <c r="I227" s="22" t="n"/>
      <c r="J227" s="22" t="n"/>
      <c r="K227" s="23" t="inlineStr">
        <is>
          <t>目录中未找到</t>
        </is>
      </c>
      <c r="L227" s="24" t="n"/>
      <c r="M227" s="25" t="n"/>
      <c r="N227" s="21" t="n"/>
      <c r="O227" s="21" t="n"/>
      <c r="P227" s="21" t="inlineStr">
        <is>
          <t>一览表 2026年7月末（全省，亿元/万户）</t>
        </is>
      </c>
    </row>
    <row r="228" outlineLevel="1">
      <c r="A228" s="17" t="inlineStr">
        <is>
          <t>当年新形成企业不良贷款率</t>
        </is>
      </c>
      <c r="B228" s="18" t="inlineStr">
        <is>
          <t>指标</t>
        </is>
      </c>
      <c r="C228" s="19" t="n"/>
      <c r="D228" s="27" t="n">
        <v>0</v>
      </c>
      <c r="E228" s="18" t="inlineStr">
        <is>
          <t>%</t>
        </is>
      </c>
      <c r="F228" s="21" t="n"/>
      <c r="G228" s="19" t="n"/>
      <c r="H228" s="22" t="inlineStr">
        <is>
          <t>越小越好</t>
        </is>
      </c>
      <c r="I228" s="22" t="n"/>
      <c r="J228" s="22" t="n"/>
      <c r="K228" s="23" t="inlineStr">
        <is>
          <t>目录中未找到</t>
        </is>
      </c>
      <c r="L228" s="24" t="n"/>
      <c r="M228" s="25" t="n"/>
      <c r="N228" s="21" t="n"/>
      <c r="O228" s="21" t="n"/>
      <c r="P228" s="21" t="inlineStr">
        <is>
          <t>一览表 2026年7月末（全省，亿元/万户）</t>
        </is>
      </c>
    </row>
    <row r="229" outlineLevel="1">
      <c r="A229" s="17" t="inlineStr">
        <is>
          <t>关注类贷款</t>
        </is>
      </c>
      <c r="B229" s="18" t="inlineStr">
        <is>
          <t>指标</t>
        </is>
      </c>
      <c r="C229" s="19" t="n"/>
      <c r="D229" s="20" t="n">
        <v>801.08</v>
      </c>
      <c r="E229" s="18" t="inlineStr">
        <is>
          <t>亿元</t>
        </is>
      </c>
      <c r="F229" s="21" t="n"/>
      <c r="G229" s="19" t="n"/>
      <c r="H229" s="22" t="inlineStr">
        <is>
          <t>越小越好</t>
        </is>
      </c>
      <c r="I229" s="22" t="n"/>
      <c r="J229" s="22" t="n"/>
      <c r="K229" s="23" t="inlineStr">
        <is>
          <t>目录中未找到</t>
        </is>
      </c>
      <c r="L229" s="24" t="n"/>
      <c r="M229" s="25" t="n"/>
      <c r="N229" s="21" t="n"/>
      <c r="O229" s="21" t="n"/>
      <c r="P229" s="21" t="inlineStr">
        <is>
          <t>一览表 2026年7月末（全省，亿元/万户）</t>
        </is>
      </c>
    </row>
    <row r="230" outlineLevel="2">
      <c r="A230" s="26" t="inlineStr">
        <is>
          <t>关注类贷款占各项贷款比</t>
        </is>
      </c>
      <c r="B230" s="18" t="inlineStr">
        <is>
          <t>比率</t>
        </is>
      </c>
      <c r="C230" s="19" t="n"/>
      <c r="D230" s="27" t="n">
        <v>0.02</v>
      </c>
      <c r="E230" s="18" t="inlineStr">
        <is>
          <t>%</t>
        </is>
      </c>
      <c r="F230" s="21" t="n"/>
      <c r="G230" s="19" t="n"/>
      <c r="H230" s="22" t="inlineStr">
        <is>
          <t>越小越好</t>
        </is>
      </c>
      <c r="I230" s="22" t="inlineStr">
        <is>
          <t>关注类贷款 ÷ 各项贷款</t>
        </is>
      </c>
      <c r="J230" s="22" t="n"/>
      <c r="K230" s="23" t="inlineStr">
        <is>
          <t>目录中未找到</t>
        </is>
      </c>
      <c r="L230" s="24" t="n"/>
      <c r="M230" s="25" t="n"/>
      <c r="N230" s="21" t="inlineStr">
        <is>
          <t>关注类贷款</t>
        </is>
      </c>
      <c r="O230" s="21" t="inlineStr">
        <is>
          <t>比率</t>
        </is>
      </c>
      <c r="P230" s="21" t="inlineStr">
        <is>
          <t>一览表</t>
        </is>
      </c>
    </row>
    <row r="231" outlineLevel="1">
      <c r="A231" s="17" t="inlineStr">
        <is>
          <t>正常关注中逾欠息贷款</t>
        </is>
      </c>
      <c r="B231" s="18" t="inlineStr">
        <is>
          <t>指标</t>
        </is>
      </c>
      <c r="C231" s="19" t="n"/>
      <c r="D231" s="20" t="n">
        <v>219.37</v>
      </c>
      <c r="E231" s="18" t="inlineStr">
        <is>
          <t>亿元</t>
        </is>
      </c>
      <c r="F231" s="21" t="n"/>
      <c r="G231" s="19" t="n"/>
      <c r="H231" s="22" t="inlineStr">
        <is>
          <t>越小越好</t>
        </is>
      </c>
      <c r="I231" s="22" t="n"/>
      <c r="J231" s="22" t="n"/>
      <c r="K231" s="23" t="inlineStr">
        <is>
          <t>目录中未找到</t>
        </is>
      </c>
      <c r="L231" s="24" t="n"/>
      <c r="M231" s="25" t="n"/>
      <c r="N231" s="21" t="n"/>
      <c r="O231" s="21" t="n"/>
      <c r="P231" s="21" t="inlineStr">
        <is>
          <t>一览表 2026年7月末（全省，亿元/万户）</t>
        </is>
      </c>
    </row>
    <row r="232" outlineLevel="1">
      <c r="A232" s="17" t="inlineStr">
        <is>
          <t>正常关注中逾欠息贷款占比</t>
        </is>
      </c>
      <c r="B232" s="18" t="inlineStr">
        <is>
          <t>指标</t>
        </is>
      </c>
      <c r="C232" s="19" t="n"/>
      <c r="D232" s="27" t="n">
        <v>0.01</v>
      </c>
      <c r="E232" s="18" t="inlineStr">
        <is>
          <t>%</t>
        </is>
      </c>
      <c r="F232" s="21" t="n"/>
      <c r="G232" s="19" t="n"/>
      <c r="H232" s="22" t="inlineStr">
        <is>
          <t>越小越好</t>
        </is>
      </c>
      <c r="I232" s="22" t="inlineStr">
        <is>
          <t>计算方式请业务确认</t>
        </is>
      </c>
      <c r="J232" s="22" t="n"/>
      <c r="K232" s="23" t="inlineStr">
        <is>
          <t>目录中未找到</t>
        </is>
      </c>
      <c r="L232" s="24" t="n"/>
      <c r="M232" s="25" t="n"/>
      <c r="N232" s="21" t="n"/>
      <c r="O232" s="21" t="n"/>
      <c r="P232" s="21" t="inlineStr">
        <is>
          <t>一览表 2026年7月末（全省，亿元/万户）</t>
        </is>
      </c>
    </row>
    <row r="233" outlineLevel="1">
      <c r="A233" s="17" t="inlineStr">
        <is>
          <t>瑕疵贷款</t>
        </is>
      </c>
      <c r="B233" s="18" t="inlineStr">
        <is>
          <t>指标</t>
        </is>
      </c>
      <c r="C233" s="19" t="n"/>
      <c r="D233" s="20" t="n">
        <v>756.4299999999999</v>
      </c>
      <c r="E233" s="18" t="inlineStr">
        <is>
          <t>亿元</t>
        </is>
      </c>
      <c r="F233" s="21" t="n"/>
      <c r="G233" s="19" t="n"/>
      <c r="H233" s="22" t="inlineStr">
        <is>
          <t>越小越好</t>
        </is>
      </c>
      <c r="I233" s="22" t="n"/>
      <c r="J233" s="22" t="n"/>
      <c r="K233" s="23" t="inlineStr">
        <is>
          <t>目录中未找到</t>
        </is>
      </c>
      <c r="L233" s="24" t="n"/>
      <c r="M233" s="25" t="n"/>
      <c r="N233" s="21" t="n"/>
      <c r="O233" s="21" t="n"/>
      <c r="P233" s="21" t="inlineStr">
        <is>
          <t>一览表 2026年7月末（全省，亿元/万户）</t>
        </is>
      </c>
    </row>
    <row r="234" outlineLevel="1">
      <c r="A234" s="17" t="inlineStr">
        <is>
          <t>瑕疵贷款率</t>
        </is>
      </c>
      <c r="B234" s="18" t="inlineStr">
        <is>
          <t>指标</t>
        </is>
      </c>
      <c r="C234" s="19" t="n"/>
      <c r="D234" s="27" t="n">
        <v>0.02</v>
      </c>
      <c r="E234" s="18" t="inlineStr">
        <is>
          <t>%</t>
        </is>
      </c>
      <c r="F234" s="21" t="n"/>
      <c r="G234" s="19" t="n"/>
      <c r="H234" s="22" t="inlineStr">
        <is>
          <t>越小越好</t>
        </is>
      </c>
      <c r="I234" s="22" t="inlineStr">
        <is>
          <t>计算方式请业务确认</t>
        </is>
      </c>
      <c r="J234" s="22" t="inlineStr">
        <is>
          <t>瑕疵贷款比率</t>
        </is>
      </c>
      <c r="K234" s="28" t="inlineStr">
        <is>
          <t>完全一致</t>
        </is>
      </c>
      <c r="L234" s="24" t="n"/>
      <c r="M234" s="25" t="n"/>
      <c r="N234" s="21" t="n"/>
      <c r="O234" s="21" t="n"/>
      <c r="P234" s="21" t="inlineStr">
        <is>
          <t>一览表 2026年7月末（全省，亿元/万户）</t>
        </is>
      </c>
    </row>
    <row r="235" outlineLevel="1">
      <c r="A235" s="17" t="inlineStr">
        <is>
          <t>核销贷款</t>
        </is>
      </c>
      <c r="B235" s="18" t="inlineStr">
        <is>
          <t>指标</t>
        </is>
      </c>
      <c r="C235" s="19" t="n"/>
      <c r="D235" s="20" t="n">
        <v>194.37</v>
      </c>
      <c r="E235" s="18" t="inlineStr">
        <is>
          <t>亿元</t>
        </is>
      </c>
      <c r="F235" s="21" t="n"/>
      <c r="G235" s="19" t="n"/>
      <c r="H235" s="22" t="inlineStr">
        <is>
          <t>无明显好坏</t>
        </is>
      </c>
      <c r="I235" s="22" t="n"/>
      <c r="J235" s="22" t="n"/>
      <c r="K235" s="23" t="inlineStr">
        <is>
          <t>目录中未找到</t>
        </is>
      </c>
      <c r="L235" s="24" t="n"/>
      <c r="M235" s="25" t="inlineStr">
        <is>
          <t>报表按较同期展示</t>
        </is>
      </c>
      <c r="N235" s="21" t="n"/>
      <c r="O235" s="21" t="n"/>
      <c r="P235" s="21" t="inlineStr">
        <is>
          <t>一览表 2026年7月末（全省，亿元/万户）</t>
        </is>
      </c>
    </row>
    <row r="236" outlineLevel="1">
      <c r="A236" s="17" t="inlineStr">
        <is>
          <t>逾期贷款</t>
        </is>
      </c>
      <c r="B236" s="18" t="inlineStr">
        <is>
          <t>指标</t>
        </is>
      </c>
      <c r="C236" s="19" t="n"/>
      <c r="D236" s="20" t="n">
        <v>594.47</v>
      </c>
      <c r="E236" s="18" t="inlineStr">
        <is>
          <t>亿元</t>
        </is>
      </c>
      <c r="F236" s="21" t="n"/>
      <c r="G236" s="19" t="inlineStr">
        <is>
          <t>是</t>
        </is>
      </c>
      <c r="H236" s="22" t="inlineStr">
        <is>
          <t>越小越好</t>
        </is>
      </c>
      <c r="I236" s="22" t="n"/>
      <c r="J236" s="22" t="n"/>
      <c r="K236" s="23" t="inlineStr">
        <is>
          <t>目录中未找到</t>
        </is>
      </c>
      <c r="L236" s="24" t="n"/>
      <c r="M236" s="25" t="n"/>
      <c r="N236" s="21" t="n"/>
      <c r="O236" s="21" t="n"/>
      <c r="P236" s="21" t="inlineStr">
        <is>
          <t>一览表 2026年7月末（全省，亿元/万户）</t>
        </is>
      </c>
    </row>
    <row r="237" outlineLevel="2">
      <c r="A237" s="29" t="inlineStr">
        <is>
          <t>〔按逾期天数〕</t>
        </is>
      </c>
      <c r="B237" s="18" t="inlineStr">
        <is>
          <t>拆解方式</t>
        </is>
      </c>
      <c r="C237" s="18" t="n"/>
      <c r="D237" s="20" t="n"/>
      <c r="E237" s="18" t="n"/>
      <c r="F237" s="21">
        <f>IF((COUNTIFS($N$3:$N$337,N237,$O$3:$O$337,O237,$C$3:$C$337,"加")+COUNTIFS($N$3:$N$337,N237,$O$3:$O$337,O237,$C$3:$C$337,"减"))=0,"其中项，不参与加总",IF(ISNUMBER(D236)=FALSE,"上级无数值，无法校验",IF(SUMPRODUCT(($N$3:$N$337=N237)*($O$3:$O$337=O237)*(($C$3:$C$337="加")+($C$3:$C$337="减"))*(ISNUMBER($D$3:$D$337)=FALSE))&gt;0,"部分下级无数值，无法校验",IF(ABS(D236-(SUMIFS($D$3:$D$337,$N$3:$N$337,N237,$O$3:$O$337,O237,$C$3:$C$337,"加")-SUMIFS($D$3:$D$337,$N$3:$N$337,N237,$O$3:$O$337,O237,$C$3:$C$337,"减")))&lt;=MAX(0.05,ABS(D236)*0.0005),"✓ 合计与上级一致","✗ 合计与上级相差 "&amp;TEXT(D236-(SUMIFS($D$3:$D$337,$N$3:$N$337,N237,$O$3:$O$337,O237,$C$3:$C$337,"加")-SUMIFS($D$3:$D$337,$N$3:$N$337,N237,$O$3:$O$337,O237,$C$3:$C$337,"减")),"#,##0.00")))))</f>
        <v/>
      </c>
      <c r="G237" s="18" t="n"/>
      <c r="H237" s="21" t="n"/>
      <c r="I237" s="21" t="n"/>
      <c r="J237" s="21" t="n"/>
      <c r="K237" s="18" t="n"/>
      <c r="L237" s="18" t="n"/>
      <c r="M237" s="21" t="n"/>
      <c r="N237" s="21" t="inlineStr">
        <is>
          <t>逾期贷款</t>
        </is>
      </c>
      <c r="O237" s="21" t="inlineStr">
        <is>
          <t>按逾期天数</t>
        </is>
      </c>
      <c r="P237" s="21" t="n"/>
    </row>
    <row r="238" outlineLevel="2">
      <c r="A238" s="30" t="inlineStr">
        <is>
          <t>逾期30天以内贷款</t>
        </is>
      </c>
      <c r="B238" s="18" t="inlineStr">
        <is>
          <t>指标</t>
        </is>
      </c>
      <c r="C238" s="19" t="inlineStr">
        <is>
          <t>加</t>
        </is>
      </c>
      <c r="D238" s="20" t="inlineStr">
        <is>
          <t>季度指标</t>
        </is>
      </c>
      <c r="E238" s="18" t="inlineStr">
        <is>
          <t>亿元</t>
        </is>
      </c>
      <c r="F238" s="21" t="n"/>
      <c r="G238" s="19" t="n"/>
      <c r="H238" s="22" t="inlineStr">
        <is>
          <t>越小越好</t>
        </is>
      </c>
      <c r="I238" s="22" t="n"/>
      <c r="J238" s="22" t="n"/>
      <c r="K238" s="23" t="inlineStr">
        <is>
          <t>目录中未找到</t>
        </is>
      </c>
      <c r="L238" s="24" t="n"/>
      <c r="M238" s="25" t="inlineStr">
        <is>
          <t>季度指标</t>
        </is>
      </c>
      <c r="N238" s="21" t="inlineStr">
        <is>
          <t>逾期贷款</t>
        </is>
      </c>
      <c r="O238" s="21" t="inlineStr">
        <is>
          <t>按逾期天数</t>
        </is>
      </c>
      <c r="P238" s="21" t="inlineStr">
        <is>
          <t>一览表 2026年7月末（全省，亿元/万户）</t>
        </is>
      </c>
    </row>
    <row r="239" outlineLevel="3">
      <c r="A239" s="31" t="inlineStr">
        <is>
          <t>逾期30天以内贷款占全部逾期比例</t>
        </is>
      </c>
      <c r="B239" s="18" t="inlineStr">
        <is>
          <t>比率</t>
        </is>
      </c>
      <c r="C239" s="19" t="n"/>
      <c r="D239" s="27" t="inlineStr">
        <is>
          <t>季度指标</t>
        </is>
      </c>
      <c r="E239" s="18" t="inlineStr">
        <is>
          <t>%</t>
        </is>
      </c>
      <c r="F239" s="21" t="n"/>
      <c r="G239" s="19" t="n"/>
      <c r="H239" s="22" t="inlineStr">
        <is>
          <t>越小越好</t>
        </is>
      </c>
      <c r="I239" s="22" t="inlineStr">
        <is>
          <t>逾期30天以内贷款 ÷ 逾期贷款</t>
        </is>
      </c>
      <c r="J239" s="22" t="n"/>
      <c r="K239" s="23" t="inlineStr">
        <is>
          <t>目录中未找到</t>
        </is>
      </c>
      <c r="L239" s="24" t="n"/>
      <c r="M239" s="25" t="inlineStr">
        <is>
          <t>季度指标</t>
        </is>
      </c>
      <c r="N239" s="21" t="inlineStr">
        <is>
          <t>逾期30天以内贷款</t>
        </is>
      </c>
      <c r="O239" s="21" t="inlineStr">
        <is>
          <t>比率</t>
        </is>
      </c>
      <c r="P239" s="21" t="inlineStr">
        <is>
          <t>一览表</t>
        </is>
      </c>
    </row>
    <row r="240" outlineLevel="2">
      <c r="A240" s="30" t="inlineStr">
        <is>
          <t>逾期31天到60天贷款</t>
        </is>
      </c>
      <c r="B240" s="18" t="inlineStr">
        <is>
          <t>指标</t>
        </is>
      </c>
      <c r="C240" s="19" t="inlineStr">
        <is>
          <t>加</t>
        </is>
      </c>
      <c r="D240" s="20" t="inlineStr">
        <is>
          <t>季度指标</t>
        </is>
      </c>
      <c r="E240" s="18" t="inlineStr">
        <is>
          <t>亿元</t>
        </is>
      </c>
      <c r="F240" s="21" t="n"/>
      <c r="G240" s="19" t="n"/>
      <c r="H240" s="22" t="inlineStr">
        <is>
          <t>越小越好</t>
        </is>
      </c>
      <c r="I240" s="22" t="n"/>
      <c r="J240" s="22" t="n"/>
      <c r="K240" s="23" t="inlineStr">
        <is>
          <t>目录中未找到</t>
        </is>
      </c>
      <c r="L240" s="24" t="n"/>
      <c r="M240" s="25" t="inlineStr">
        <is>
          <t>季度指标</t>
        </is>
      </c>
      <c r="N240" s="21" t="inlineStr">
        <is>
          <t>逾期贷款</t>
        </is>
      </c>
      <c r="O240" s="21" t="inlineStr">
        <is>
          <t>按逾期天数</t>
        </is>
      </c>
      <c r="P240" s="21" t="inlineStr">
        <is>
          <t>一览表 2026年7月末（全省，亿元/万户）</t>
        </is>
      </c>
    </row>
    <row r="241" outlineLevel="3">
      <c r="A241" s="31" t="inlineStr">
        <is>
          <t>逾期31天到60天贷款占全部逾期比例</t>
        </is>
      </c>
      <c r="B241" s="18" t="inlineStr">
        <is>
          <t>比率</t>
        </is>
      </c>
      <c r="C241" s="19" t="n"/>
      <c r="D241" s="27" t="inlineStr">
        <is>
          <t>季度指标</t>
        </is>
      </c>
      <c r="E241" s="18" t="inlineStr">
        <is>
          <t>%</t>
        </is>
      </c>
      <c r="F241" s="21" t="n"/>
      <c r="G241" s="19" t="n"/>
      <c r="H241" s="22" t="inlineStr">
        <is>
          <t>越小越好</t>
        </is>
      </c>
      <c r="I241" s="22" t="inlineStr">
        <is>
          <t>逾期31天到60天贷款 ÷ 逾期贷款</t>
        </is>
      </c>
      <c r="J241" s="22" t="n"/>
      <c r="K241" s="23" t="inlineStr">
        <is>
          <t>目录中未找到</t>
        </is>
      </c>
      <c r="L241" s="24" t="n"/>
      <c r="M241" s="25" t="inlineStr">
        <is>
          <t>季度指标</t>
        </is>
      </c>
      <c r="N241" s="21" t="inlineStr">
        <is>
          <t>逾期31天到60天贷款</t>
        </is>
      </c>
      <c r="O241" s="21" t="inlineStr">
        <is>
          <t>比率</t>
        </is>
      </c>
      <c r="P241" s="21" t="inlineStr">
        <is>
          <t>一览表</t>
        </is>
      </c>
    </row>
    <row r="242" outlineLevel="2">
      <c r="A242" s="30" t="inlineStr">
        <is>
          <t>逾期60天以上贷款</t>
        </is>
      </c>
      <c r="B242" s="18" t="inlineStr">
        <is>
          <t>指标</t>
        </is>
      </c>
      <c r="C242" s="19" t="inlineStr">
        <is>
          <t>加</t>
        </is>
      </c>
      <c r="D242" s="20" t="n">
        <v>419.44</v>
      </c>
      <c r="E242" s="18" t="inlineStr">
        <is>
          <t>亿元</t>
        </is>
      </c>
      <c r="F242" s="21" t="n"/>
      <c r="G242" s="19" t="n"/>
      <c r="H242" s="22" t="inlineStr">
        <is>
          <t>越小越好</t>
        </is>
      </c>
      <c r="I242" s="22" t="n"/>
      <c r="J242" s="22" t="n"/>
      <c r="K242" s="23" t="inlineStr">
        <is>
          <t>目录中未找到</t>
        </is>
      </c>
      <c r="L242" s="24" t="n"/>
      <c r="M242" s="25" t="n"/>
      <c r="N242" s="21" t="inlineStr">
        <is>
          <t>逾期贷款</t>
        </is>
      </c>
      <c r="O242" s="21" t="inlineStr">
        <is>
          <t>按逾期天数</t>
        </is>
      </c>
      <c r="P242" s="21" t="inlineStr">
        <is>
          <t>一览表 2026年7月末（全省，亿元/万户）</t>
        </is>
      </c>
    </row>
    <row r="243" outlineLevel="3">
      <c r="A243" s="31" t="inlineStr">
        <is>
          <t>逾期60天以上贷款与不良贷款比例</t>
        </is>
      </c>
      <c r="B243" s="18" t="inlineStr">
        <is>
          <t>比率</t>
        </is>
      </c>
      <c r="C243" s="19" t="n"/>
      <c r="D243" s="27" t="n">
        <v>0.98</v>
      </c>
      <c r="E243" s="18" t="inlineStr">
        <is>
          <t>%</t>
        </is>
      </c>
      <c r="F243" s="21" t="n"/>
      <c r="G243" s="19" t="n"/>
      <c r="H243" s="22" t="inlineStr">
        <is>
          <t>越小越好</t>
        </is>
      </c>
      <c r="I243" s="22" t="inlineStr">
        <is>
          <t>逾期60天以上贷款 ÷ 不良贷款</t>
        </is>
      </c>
      <c r="J243" s="22" t="n"/>
      <c r="K243" s="23" t="inlineStr">
        <is>
          <t>目录中未找到</t>
        </is>
      </c>
      <c r="L243" s="24" t="n"/>
      <c r="M243" s="25" t="n"/>
      <c r="N243" s="21" t="inlineStr">
        <is>
          <t>逾期60天以上贷款</t>
        </is>
      </c>
      <c r="O243" s="21" t="inlineStr">
        <is>
          <t>比率</t>
        </is>
      </c>
      <c r="P243" s="21" t="inlineStr">
        <is>
          <t>一览表</t>
        </is>
      </c>
    </row>
    <row r="244" outlineLevel="1">
      <c r="A244" s="17" t="inlineStr">
        <is>
          <t>逾期90天以上贷款与不良贷款比例</t>
        </is>
      </c>
      <c r="B244" s="18" t="inlineStr">
        <is>
          <t>指标</t>
        </is>
      </c>
      <c r="C244" s="19" t="n"/>
      <c r="D244" s="27" t="n">
        <v>0.87</v>
      </c>
      <c r="E244" s="18" t="inlineStr">
        <is>
          <t>%</t>
        </is>
      </c>
      <c r="F244" s="21" t="n"/>
      <c r="G244" s="19" t="n"/>
      <c r="H244" s="22" t="inlineStr">
        <is>
          <t>越小越好</t>
        </is>
      </c>
      <c r="I244" s="22" t="inlineStr">
        <is>
          <t>逾期90天以上贷款 ÷ 不良贷款</t>
        </is>
      </c>
      <c r="J244" s="22" t="n"/>
      <c r="K244" s="23" t="inlineStr">
        <is>
          <t>目录中未找到</t>
        </is>
      </c>
      <c r="L244" s="24" t="n"/>
      <c r="M244" s="25" t="inlineStr">
        <is>
          <t>监管要求 ≤100%</t>
        </is>
      </c>
      <c r="N244" s="21" t="n"/>
      <c r="O244" s="21" t="n"/>
      <c r="P244" s="21" t="inlineStr">
        <is>
          <t>一览表 2026年7月末（全省，亿元/万户）</t>
        </is>
      </c>
    </row>
    <row r="245" outlineLevel="1">
      <c r="A245" s="17" t="inlineStr">
        <is>
          <t>拨备覆盖率</t>
        </is>
      </c>
      <c r="B245" s="18" t="inlineStr">
        <is>
          <t>指标</t>
        </is>
      </c>
      <c r="C245" s="19" t="n"/>
      <c r="D245" s="27" t="n">
        <v>2.92</v>
      </c>
      <c r="E245" s="18" t="inlineStr">
        <is>
          <t>%</t>
        </is>
      </c>
      <c r="F245" s="21" t="n"/>
      <c r="G245" s="19" t="inlineStr">
        <is>
          <t>是</t>
        </is>
      </c>
      <c r="H245" s="22" t="inlineStr">
        <is>
          <t>越大越好</t>
        </is>
      </c>
      <c r="I245" s="22" t="inlineStr">
        <is>
          <t>贷款损失准备 ÷ 不良贷款（请确认）</t>
        </is>
      </c>
      <c r="J245" s="22" t="inlineStr">
        <is>
          <t>拨备覆盖比率</t>
        </is>
      </c>
      <c r="K245" s="28" t="inlineStr">
        <is>
          <t>完全一致</t>
        </is>
      </c>
      <c r="L245" s="24" t="n"/>
      <c r="M245" s="25" t="inlineStr">
        <is>
          <t>监管要求 ≥150%</t>
        </is>
      </c>
      <c r="N245" s="21" t="n"/>
      <c r="O245" s="21" t="n"/>
      <c r="P245" s="21" t="inlineStr">
        <is>
          <t>一览表 2026年7月末（全省，亿元/万户）</t>
        </is>
      </c>
    </row>
    <row r="246" outlineLevel="1">
      <c r="A246" s="17" t="inlineStr">
        <is>
          <t>流动性比例</t>
        </is>
      </c>
      <c r="B246" s="18" t="inlineStr">
        <is>
          <t>指标</t>
        </is>
      </c>
      <c r="C246" s="19" t="n"/>
      <c r="D246" s="27" t="n">
        <v>0.9399999999999999</v>
      </c>
      <c r="E246" s="18" t="inlineStr">
        <is>
          <t>%</t>
        </is>
      </c>
      <c r="F246" s="21" t="n"/>
      <c r="G246" s="19" t="n"/>
      <c r="H246" s="22" t="inlineStr">
        <is>
          <t>越大越好</t>
        </is>
      </c>
      <c r="I246" s="22" t="n"/>
      <c r="J246" s="22" t="n"/>
      <c r="K246" s="23" t="inlineStr">
        <is>
          <t>目录中未找到</t>
        </is>
      </c>
      <c r="L246" s="24" t="n"/>
      <c r="M246" s="25" t="inlineStr">
        <is>
          <t>监管要求 ≥25%</t>
        </is>
      </c>
      <c r="N246" s="21" t="n"/>
      <c r="O246" s="21" t="n"/>
      <c r="P246" s="21" t="inlineStr">
        <is>
          <t>一览表 2026年7月末（全省，亿元/万户）</t>
        </is>
      </c>
    </row>
    <row r="247" outlineLevel="1">
      <c r="A247" s="17" t="inlineStr">
        <is>
          <t>90天流动性缺口率</t>
        </is>
      </c>
      <c r="B247" s="18" t="inlineStr">
        <is>
          <t>指标</t>
        </is>
      </c>
      <c r="C247" s="19" t="n"/>
      <c r="D247" s="27" t="n">
        <v>0.25</v>
      </c>
      <c r="E247" s="18" t="inlineStr">
        <is>
          <t>%</t>
        </is>
      </c>
      <c r="F247" s="21" t="n"/>
      <c r="G247" s="19" t="n"/>
      <c r="H247" s="22" t="inlineStr">
        <is>
          <t>越大越好</t>
        </is>
      </c>
      <c r="I247" s="22" t="n"/>
      <c r="J247" s="22" t="n"/>
      <c r="K247" s="23" t="inlineStr">
        <is>
          <t>目录中未找到</t>
        </is>
      </c>
      <c r="L247" s="24" t="n"/>
      <c r="M247" s="25" t="inlineStr">
        <is>
          <t>监管要求 ≥-10%</t>
        </is>
      </c>
      <c r="N247" s="21" t="n"/>
      <c r="O247" s="21" t="n"/>
      <c r="P247" s="21" t="inlineStr">
        <is>
          <t>一览表 2026年7月末（全省，亿元/万户）</t>
        </is>
      </c>
    </row>
    <row r="248" outlineLevel="1">
      <c r="A248" s="17" t="inlineStr">
        <is>
          <t>存贷比</t>
        </is>
      </c>
      <c r="B248" s="18" t="inlineStr">
        <is>
          <t>指标</t>
        </is>
      </c>
      <c r="C248" s="19" t="n"/>
      <c r="D248" s="27" t="n">
        <v>0.78</v>
      </c>
      <c r="E248" s="18" t="inlineStr">
        <is>
          <t>%</t>
        </is>
      </c>
      <c r="F248" s="21" t="n"/>
      <c r="G248" s="19" t="n"/>
      <c r="H248" s="22" t="inlineStr">
        <is>
          <t>无明显好坏</t>
        </is>
      </c>
      <c r="I248" s="22" t="inlineStr">
        <is>
          <t>各项贷款 ÷ 各项存款（请确认口径）</t>
        </is>
      </c>
      <c r="J248" s="22" t="inlineStr">
        <is>
          <t>存贷比率</t>
        </is>
      </c>
      <c r="K248" s="28" t="inlineStr">
        <is>
          <t>完全一致</t>
        </is>
      </c>
      <c r="L248" s="24" t="n"/>
      <c r="M248" s="25" t="n"/>
      <c r="N248" s="21" t="n"/>
      <c r="O248" s="21" t="n"/>
      <c r="P248" s="21" t="inlineStr">
        <is>
          <t>一览表 2026年7月末（全省，亿元/万户）</t>
        </is>
      </c>
    </row>
    <row r="249" ht="22" customHeight="1">
      <c r="A249" s="13" t="inlineStr">
        <is>
          <t>十、效益</t>
        </is>
      </c>
      <c r="B249" s="14" t="inlineStr">
        <is>
          <t>板块</t>
        </is>
      </c>
      <c r="C249" s="14" t="n"/>
      <c r="D249" s="15" t="n"/>
      <c r="E249" s="14" t="n"/>
      <c r="F249" s="16" t="n"/>
      <c r="G249" s="14" t="n"/>
      <c r="H249" s="16" t="n"/>
      <c r="I249" s="16" t="n"/>
      <c r="J249" s="16" t="n"/>
      <c r="K249" s="14" t="n"/>
      <c r="L249" s="14" t="n"/>
      <c r="M249" s="16" t="n"/>
      <c r="N249" s="16" t="n"/>
      <c r="O249" s="16" t="n"/>
      <c r="P249" s="16" t="n"/>
    </row>
    <row r="250" outlineLevel="1">
      <c r="A250" s="17" t="inlineStr">
        <is>
          <t>利息净收入</t>
        </is>
      </c>
      <c r="B250" s="18" t="inlineStr">
        <is>
          <t>指标</t>
        </is>
      </c>
      <c r="C250" s="19" t="n"/>
      <c r="D250" s="20" t="n">
        <v>11346.34</v>
      </c>
      <c r="E250" s="18" t="inlineStr">
        <is>
          <t>万元</t>
        </is>
      </c>
      <c r="F250" s="21" t="n"/>
      <c r="G250" s="19" t="inlineStr">
        <is>
          <t>是</t>
        </is>
      </c>
      <c r="H250" s="22" t="inlineStr">
        <is>
          <t>越大越好</t>
        </is>
      </c>
      <c r="I250" s="22" t="n"/>
      <c r="J250" s="22" t="inlineStr">
        <is>
          <t>利息净收入金额；利息净收入金额_成本核算</t>
        </is>
      </c>
      <c r="K250" s="32" t="inlineStr">
        <is>
          <t>多个候选，请选择</t>
        </is>
      </c>
      <c r="L250" s="24" t="n"/>
      <c r="M250" s="25" t="inlineStr">
        <is>
          <t>一览表全省值：477.86 亿元</t>
        </is>
      </c>
      <c r="N250" s="21" t="n"/>
      <c r="O250" s="21" t="n"/>
      <c r="P250" s="21" t="inlineStr">
        <is>
          <t>归因分析表 东台农商行 2026年6月本期（万元）</t>
        </is>
      </c>
    </row>
    <row r="251" outlineLevel="2">
      <c r="A251" s="29" t="inlineStr">
        <is>
          <t>〔收支轧差〕</t>
        </is>
      </c>
      <c r="B251" s="18" t="inlineStr">
        <is>
          <t>拆解方式</t>
        </is>
      </c>
      <c r="C251" s="18" t="n"/>
      <c r="D251" s="20" t="n"/>
      <c r="E251" s="18" t="n"/>
      <c r="F251" s="21">
        <f>IF((COUNTIFS($N$3:$N$337,N251,$O$3:$O$337,O251,$C$3:$C$337,"加")+COUNTIFS($N$3:$N$337,N251,$O$3:$O$337,O251,$C$3:$C$337,"减"))=0,"其中项，不参与加总",IF(ISNUMBER(D250)=FALSE,"上级无数值，无法校验",IF(SUMPRODUCT(($N$3:$N$337=N251)*($O$3:$O$337=O251)*(($C$3:$C$337="加")+($C$3:$C$337="减"))*(ISNUMBER($D$3:$D$337)=FALSE))&gt;0,"部分下级无数值，无法校验",IF(ABS(D250-(SUMIFS($D$3:$D$337,$N$3:$N$337,N251,$O$3:$O$337,O251,$C$3:$C$337,"加")-SUMIFS($D$3:$D$337,$N$3:$N$337,N251,$O$3:$O$337,O251,$C$3:$C$337,"减")))&lt;=MAX(0.05,ABS(D250)*0.0005),"✓ 合计与上级一致","✗ 合计与上级相差 "&amp;TEXT(D250-(SUMIFS($D$3:$D$337,$N$3:$N$337,N251,$O$3:$O$337,O251,$C$3:$C$337,"加")-SUMIFS($D$3:$D$337,$N$3:$N$337,N251,$O$3:$O$337,O251,$C$3:$C$337,"减")),"#,##0.00")))))</f>
        <v/>
      </c>
      <c r="G251" s="18" t="n"/>
      <c r="H251" s="21" t="n"/>
      <c r="I251" s="21" t="n"/>
      <c r="J251" s="21" t="n"/>
      <c r="K251" s="18" t="n"/>
      <c r="L251" s="18" t="n"/>
      <c r="M251" s="21" t="inlineStr">
        <is>
          <t>一览表中利息净收入为全省口径，本行数值来自归因分析表</t>
        </is>
      </c>
      <c r="N251" s="21" t="inlineStr">
        <is>
          <t>利息净收入</t>
        </is>
      </c>
      <c r="O251" s="21" t="inlineStr">
        <is>
          <t>收支轧差</t>
        </is>
      </c>
      <c r="P251" s="21" t="n"/>
    </row>
    <row r="252" outlineLevel="2">
      <c r="A252" s="39" t="inlineStr">
        <is>
          <t>↪ 利息收入</t>
        </is>
      </c>
      <c r="B252" s="18" t="inlineStr">
        <is>
          <t>引用</t>
        </is>
      </c>
      <c r="C252" s="19" t="inlineStr">
        <is>
          <t>加</t>
        </is>
      </c>
      <c r="D252" s="20" t="n">
        <v>46566.1</v>
      </c>
      <c r="E252" s="18" t="inlineStr">
        <is>
          <t>万元</t>
        </is>
      </c>
      <c r="F252" s="21" t="n"/>
      <c r="G252" s="19" t="n"/>
      <c r="H252" s="22" t="n"/>
      <c r="I252" s="22" t="n"/>
      <c r="J252" s="22" t="n"/>
      <c r="K252" s="18" t="n"/>
      <c r="L252" s="24" t="n"/>
      <c r="M252" s="25" t="inlineStr">
        <is>
          <t>展开见：净利润 › 利润总额 › 营业利润 › 营业收入 › 利息收入</t>
        </is>
      </c>
      <c r="N252" s="21" t="inlineStr">
        <is>
          <t>利息净收入</t>
        </is>
      </c>
      <c r="O252" s="21" t="inlineStr">
        <is>
          <t>收支轧差</t>
        </is>
      </c>
      <c r="P252" s="21" t="inlineStr">
        <is>
          <t>归因分析表 东台农商行 2026年6月本期（万元）</t>
        </is>
      </c>
    </row>
    <row r="253" outlineLevel="2">
      <c r="A253" s="39" t="inlineStr">
        <is>
          <t>↪ 利息支出</t>
        </is>
      </c>
      <c r="B253" s="18" t="inlineStr">
        <is>
          <t>引用</t>
        </is>
      </c>
      <c r="C253" s="19" t="inlineStr">
        <is>
          <t>减</t>
        </is>
      </c>
      <c r="D253" s="20" t="n">
        <v>35219.75</v>
      </c>
      <c r="E253" s="18" t="inlineStr">
        <is>
          <t>万元</t>
        </is>
      </c>
      <c r="F253" s="21" t="n"/>
      <c r="G253" s="19" t="n"/>
      <c r="H253" s="22" t="n"/>
      <c r="I253" s="22" t="n"/>
      <c r="J253" s="22" t="n"/>
      <c r="K253" s="18" t="n"/>
      <c r="L253" s="24" t="n"/>
      <c r="M253" s="25" t="inlineStr">
        <is>
          <t>展开见：净利润 › 利润总额 › 营业利润 › 营业支出 › 利息支出</t>
        </is>
      </c>
      <c r="N253" s="21" t="inlineStr">
        <is>
          <t>利息净收入</t>
        </is>
      </c>
      <c r="O253" s="21" t="inlineStr">
        <is>
          <t>收支轧差</t>
        </is>
      </c>
      <c r="P253" s="21" t="inlineStr">
        <is>
          <t>归因分析表 东台农商行 2026年6月本期（万元）</t>
        </is>
      </c>
    </row>
    <row r="254" outlineLevel="1">
      <c r="A254" s="17" t="inlineStr">
        <is>
          <t>中间业务净收入</t>
        </is>
      </c>
      <c r="B254" s="18" t="inlineStr">
        <is>
          <t>指标</t>
        </is>
      </c>
      <c r="C254" s="19" t="n"/>
      <c r="D254" s="20" t="n">
        <v>-591.51</v>
      </c>
      <c r="E254" s="18" t="inlineStr">
        <is>
          <t>万元</t>
        </is>
      </c>
      <c r="F254" s="21" t="n"/>
      <c r="G254" s="19" t="inlineStr">
        <is>
          <t>是</t>
        </is>
      </c>
      <c r="H254" s="22" t="inlineStr">
        <is>
          <t>越大越好</t>
        </is>
      </c>
      <c r="I254" s="22" t="n"/>
      <c r="J254" s="22" t="inlineStr">
        <is>
          <t>当年手续费及佣金净收入金额</t>
        </is>
      </c>
      <c r="K254" s="32" t="inlineStr">
        <is>
          <t>近似，请核对</t>
        </is>
      </c>
      <c r="L254" s="24" t="n"/>
      <c r="M254" s="25" t="inlineStr">
        <is>
          <t>一览表全省值：12.47 亿元</t>
        </is>
      </c>
      <c r="N254" s="21" t="n"/>
      <c r="O254" s="21" t="n"/>
      <c r="P254" s="21" t="inlineStr">
        <is>
          <t>归因分析表 东台农商行 2026年6月本期（万元）</t>
        </is>
      </c>
    </row>
    <row r="255" outlineLevel="2">
      <c r="A255" s="29" t="inlineStr">
        <is>
          <t>〔收支轧差〕</t>
        </is>
      </c>
      <c r="B255" s="18" t="inlineStr">
        <is>
          <t>拆解方式</t>
        </is>
      </c>
      <c r="C255" s="18" t="n"/>
      <c r="D255" s="20" t="n"/>
      <c r="E255" s="18" t="n"/>
      <c r="F255" s="21">
        <f>IF((COUNTIFS($N$3:$N$337,N255,$O$3:$O$337,O255,$C$3:$C$337,"加")+COUNTIFS($N$3:$N$337,N255,$O$3:$O$337,O255,$C$3:$C$337,"减"))=0,"其中项，不参与加总",IF(ISNUMBER(D254)=FALSE,"上级无数值，无法校验",IF(SUMPRODUCT(($N$3:$N$337=N255)*($O$3:$O$337=O255)*(($C$3:$C$337="加")+($C$3:$C$337="减"))*(ISNUMBER($D$3:$D$337)=FALSE))&gt;0,"部分下级无数值，无法校验",IF(ABS(D254-(SUMIFS($D$3:$D$337,$N$3:$N$337,N255,$O$3:$O$337,O255,$C$3:$C$337,"加")-SUMIFS($D$3:$D$337,$N$3:$N$337,N255,$O$3:$O$337,O255,$C$3:$C$337,"减")))&lt;=MAX(0.05,ABS(D254)*0.0005),"✓ 合计与上级一致","✗ 合计与上级相差 "&amp;TEXT(D254-(SUMIFS($D$3:$D$337,$N$3:$N$337,N255,$O$3:$O$337,O255,$C$3:$C$337,"加")-SUMIFS($D$3:$D$337,$N$3:$N$337,N255,$O$3:$O$337,O255,$C$3:$C$337,"减")),"#,##0.00")))))</f>
        <v/>
      </c>
      <c r="G255" s="18" t="n"/>
      <c r="H255" s="21" t="n"/>
      <c r="I255" s="21" t="n"/>
      <c r="J255" s="21" t="n"/>
      <c r="K255" s="18" t="n"/>
      <c r="L255" s="18" t="n"/>
      <c r="M255" s="21" t="n"/>
      <c r="N255" s="21" t="inlineStr">
        <is>
          <t>中间业务净收入</t>
        </is>
      </c>
      <c r="O255" s="21" t="inlineStr">
        <is>
          <t>收支轧差</t>
        </is>
      </c>
      <c r="P255" s="21" t="n"/>
    </row>
    <row r="256" outlineLevel="2">
      <c r="A256" s="39" t="inlineStr">
        <is>
          <t>↪ 手续费及佣金收入</t>
        </is>
      </c>
      <c r="B256" s="18" t="inlineStr">
        <is>
          <t>引用</t>
        </is>
      </c>
      <c r="C256" s="19" t="inlineStr">
        <is>
          <t>加</t>
        </is>
      </c>
      <c r="D256" s="20" t="n">
        <v>849.5700000000001</v>
      </c>
      <c r="E256" s="18" t="inlineStr">
        <is>
          <t>万元</t>
        </is>
      </c>
      <c r="F256" s="21" t="n"/>
      <c r="G256" s="19" t="n"/>
      <c r="H256" s="22" t="n"/>
      <c r="I256" s="22" t="n"/>
      <c r="J256" s="22" t="n"/>
      <c r="K256" s="18" t="n"/>
      <c r="L256" s="24" t="n"/>
      <c r="M256" s="25" t="inlineStr">
        <is>
          <t>展开见：净利润 › 利润总额 › 营业利润 › 营业收入 › 手续费及佣金收入</t>
        </is>
      </c>
      <c r="N256" s="21" t="inlineStr">
        <is>
          <t>中间业务净收入</t>
        </is>
      </c>
      <c r="O256" s="21" t="inlineStr">
        <is>
          <t>收支轧差</t>
        </is>
      </c>
      <c r="P256" s="21" t="inlineStr">
        <is>
          <t>归因分析表 东台农商行 2026年6月本期（万元）</t>
        </is>
      </c>
    </row>
    <row r="257" outlineLevel="2">
      <c r="A257" s="39" t="inlineStr">
        <is>
          <t>↪ 手续费及佣金支出</t>
        </is>
      </c>
      <c r="B257" s="18" t="inlineStr">
        <is>
          <t>引用</t>
        </is>
      </c>
      <c r="C257" s="19" t="inlineStr">
        <is>
          <t>减</t>
        </is>
      </c>
      <c r="D257" s="20" t="n">
        <v>1441.07</v>
      </c>
      <c r="E257" s="18" t="inlineStr">
        <is>
          <t>万元</t>
        </is>
      </c>
      <c r="F257" s="21" t="n"/>
      <c r="G257" s="19" t="n"/>
      <c r="H257" s="22" t="n"/>
      <c r="I257" s="22" t="n"/>
      <c r="J257" s="22" t="n"/>
      <c r="K257" s="18" t="n"/>
      <c r="L257" s="24" t="n"/>
      <c r="M257" s="25" t="inlineStr">
        <is>
          <t>展开见：净利润 › 利润总额 › 营业利润 › 营业支出 › 手续费及佣金支出</t>
        </is>
      </c>
      <c r="N257" s="21" t="inlineStr">
        <is>
          <t>中间业务净收入</t>
        </is>
      </c>
      <c r="O257" s="21" t="inlineStr">
        <is>
          <t>收支轧差</t>
        </is>
      </c>
      <c r="P257" s="21" t="inlineStr">
        <is>
          <t>归因分析表 东台农商行 2026年6月本期（万元）</t>
        </is>
      </c>
    </row>
    <row r="258" outlineLevel="1">
      <c r="A258" s="17" t="inlineStr">
        <is>
          <t>拨备前利润</t>
        </is>
      </c>
      <c r="B258" s="18" t="inlineStr">
        <is>
          <t>指标</t>
        </is>
      </c>
      <c r="C258" s="19" t="n"/>
      <c r="D258" s="20" t="n">
        <v>49999.86</v>
      </c>
      <c r="E258" s="18" t="inlineStr">
        <is>
          <t>万元</t>
        </is>
      </c>
      <c r="F258" s="21" t="n"/>
      <c r="G258" s="19" t="inlineStr">
        <is>
          <t>是</t>
        </is>
      </c>
      <c r="H258" s="22" t="inlineStr">
        <is>
          <t>越大越好</t>
        </is>
      </c>
      <c r="I258" s="22" t="n"/>
      <c r="J258" s="22" t="inlineStr">
        <is>
          <t>拨备前利润金额</t>
        </is>
      </c>
      <c r="K258" s="28" t="inlineStr">
        <is>
          <t>完全一致</t>
        </is>
      </c>
      <c r="L258" s="24" t="n"/>
      <c r="M258" s="25" t="inlineStr">
        <is>
          <t>一览表全省值：434.67 亿元</t>
        </is>
      </c>
      <c r="N258" s="21" t="n"/>
      <c r="O258" s="21" t="n"/>
      <c r="P258" s="21" t="inlineStr">
        <is>
          <t>归因分析表 东台农商行 2026年6月本期（万元）</t>
        </is>
      </c>
    </row>
    <row r="259" outlineLevel="2">
      <c r="A259" s="29" t="inlineStr">
        <is>
          <t>〔利润构成〕</t>
        </is>
      </c>
      <c r="B259" s="18" t="inlineStr">
        <is>
          <t>拆解方式</t>
        </is>
      </c>
      <c r="C259" s="18" t="n"/>
      <c r="D259" s="20" t="n"/>
      <c r="E259" s="18" t="n"/>
      <c r="F259" s="21">
        <f>IF((COUNTIFS($N$3:$N$337,N259,$O$3:$O$337,O259,$C$3:$C$337,"加")+COUNTIFS($N$3:$N$337,N259,$O$3:$O$337,O259,$C$3:$C$337,"减"))=0,"其中项，不参与加总",IF(ISNUMBER(D258)=FALSE,"上级无数值，无法校验",IF(SUMPRODUCT(($N$3:$N$337=N259)*($O$3:$O$337=O259)*(($C$3:$C$337="加")+($C$3:$C$337="减"))*(ISNUMBER($D$3:$D$337)=FALSE))&gt;0,"部分下级无数值，无法校验",IF(ABS(D258-(SUMIFS($D$3:$D$337,$N$3:$N$337,N259,$O$3:$O$337,O259,$C$3:$C$337,"加")-SUMIFS($D$3:$D$337,$N$3:$N$337,N259,$O$3:$O$337,O259,$C$3:$C$337,"减")))&lt;=MAX(0.05,ABS(D258)*0.0005),"✓ 合计与上级一致","✗ 合计与上级相差 "&amp;TEXT(D258-(SUMIFS($D$3:$D$337,$N$3:$N$337,N259,$O$3:$O$337,O259,$C$3:$C$337,"加")-SUMIFS($D$3:$D$337,$N$3:$N$337,N259,$O$3:$O$337,O259,$C$3:$C$337,"减")),"#,##0.00")))))</f>
        <v/>
      </c>
      <c r="G259" s="18" t="n"/>
      <c r="H259" s="21" t="n"/>
      <c r="I259" s="21" t="n"/>
      <c r="J259" s="21" t="n"/>
      <c r="K259" s="18" t="n"/>
      <c r="L259" s="18" t="n"/>
      <c r="M259" s="21" t="n"/>
      <c r="N259" s="21" t="inlineStr">
        <is>
          <t>拨备前利润</t>
        </is>
      </c>
      <c r="O259" s="21" t="inlineStr">
        <is>
          <t>利润构成</t>
        </is>
      </c>
      <c r="P259" s="21" t="n"/>
    </row>
    <row r="260" outlineLevel="2">
      <c r="A260" s="39" t="inlineStr">
        <is>
          <t>↪ 营业利润</t>
        </is>
      </c>
      <c r="B260" s="18" t="inlineStr">
        <is>
          <t>引用</t>
        </is>
      </c>
      <c r="C260" s="19" t="inlineStr">
        <is>
          <t>加</t>
        </is>
      </c>
      <c r="D260" s="20" t="n">
        <v>32429.39</v>
      </c>
      <c r="E260" s="18" t="inlineStr">
        <is>
          <t>万元</t>
        </is>
      </c>
      <c r="F260" s="21" t="n"/>
      <c r="G260" s="19" t="n"/>
      <c r="H260" s="22" t="n"/>
      <c r="I260" s="22" t="n"/>
      <c r="J260" s="22" t="n"/>
      <c r="K260" s="18" t="n"/>
      <c r="L260" s="24" t="n"/>
      <c r="M260" s="25" t="inlineStr">
        <is>
          <t>展开见：净利润 › 利润总额 › 营业利润</t>
        </is>
      </c>
      <c r="N260" s="21" t="inlineStr">
        <is>
          <t>拨备前利润</t>
        </is>
      </c>
      <c r="O260" s="21" t="inlineStr">
        <is>
          <t>利润构成</t>
        </is>
      </c>
      <c r="P260" s="21" t="inlineStr">
        <is>
          <t>归因分析表 东台农商行 2026年6月本期（万元）</t>
        </is>
      </c>
    </row>
    <row r="261" outlineLevel="2">
      <c r="A261" s="30" t="inlineStr">
        <is>
          <t>拨备减值计提</t>
        </is>
      </c>
      <c r="B261" s="18" t="inlineStr">
        <is>
          <t>指标</t>
        </is>
      </c>
      <c r="C261" s="19" t="inlineStr">
        <is>
          <t>加</t>
        </is>
      </c>
      <c r="D261" s="20" t="n">
        <v>17570.47</v>
      </c>
      <c r="E261" s="18" t="inlineStr">
        <is>
          <t>万元</t>
        </is>
      </c>
      <c r="F261" s="21" t="n"/>
      <c r="G261" s="19" t="n"/>
      <c r="H261" s="22" t="inlineStr">
        <is>
          <t>越小越好</t>
        </is>
      </c>
      <c r="I261" s="22" t="n"/>
      <c r="J261" s="22" t="inlineStr">
        <is>
          <t>拨备减值计提金额</t>
        </is>
      </c>
      <c r="K261" s="28" t="inlineStr">
        <is>
          <t>完全一致</t>
        </is>
      </c>
      <c r="L261" s="24" t="n"/>
      <c r="M261" s="25" t="n"/>
      <c r="N261" s="21" t="inlineStr">
        <is>
          <t>拨备前利润</t>
        </is>
      </c>
      <c r="O261" s="21" t="inlineStr">
        <is>
          <t>利润构成</t>
        </is>
      </c>
      <c r="P261" s="21" t="inlineStr">
        <is>
          <t>归因分析表 东台农商行 2026年6月本期（万元）</t>
        </is>
      </c>
    </row>
    <row r="262" outlineLevel="3">
      <c r="A262" s="33" t="inlineStr">
        <is>
          <t>〔按减值类型〕</t>
        </is>
      </c>
      <c r="B262" s="18" t="inlineStr">
        <is>
          <t>拆解方式</t>
        </is>
      </c>
      <c r="C262" s="18" t="n"/>
      <c r="D262" s="20" t="n"/>
      <c r="E262" s="18" t="n"/>
      <c r="F262" s="21">
        <f>IF((COUNTIFS($N$3:$N$337,N262,$O$3:$O$337,O262,$C$3:$C$337,"加")+COUNTIFS($N$3:$N$337,N262,$O$3:$O$337,O262,$C$3:$C$337,"减"))=0,"其中项，不参与加总",IF(ISNUMBER(D261)=FALSE,"上级无数值，无法校验",IF(SUMPRODUCT(($N$3:$N$337=N262)*($O$3:$O$337=O262)*(($C$3:$C$337="加")+($C$3:$C$337="减"))*(ISNUMBER($D$3:$D$337)=FALSE))&gt;0,"部分下级无数值，无法校验",IF(ABS(D261-(SUMIFS($D$3:$D$337,$N$3:$N$337,N262,$O$3:$O$337,O262,$C$3:$C$337,"加")-SUMIFS($D$3:$D$337,$N$3:$N$337,N262,$O$3:$O$337,O262,$C$3:$C$337,"减")))&lt;=MAX(0.05,ABS(D261)*0.0005),"✓ 合计与上级一致","✗ 合计与上级相差 "&amp;TEXT(D261-(SUMIFS($D$3:$D$337,$N$3:$N$337,N262,$O$3:$O$337,O262,$C$3:$C$337,"加")-SUMIFS($D$3:$D$337,$N$3:$N$337,N262,$O$3:$O$337,O262,$C$3:$C$337,"减")),"#,##0.00")))))</f>
        <v/>
      </c>
      <c r="G262" s="18" t="n"/>
      <c r="H262" s="21" t="n"/>
      <c r="I262" s="21" t="n"/>
      <c r="J262" s="21" t="n"/>
      <c r="K262" s="18" t="n"/>
      <c r="L262" s="18" t="n"/>
      <c r="M262" s="21" t="n"/>
      <c r="N262" s="21" t="inlineStr">
        <is>
          <t>拨备减值计提</t>
        </is>
      </c>
      <c r="O262" s="21" t="inlineStr">
        <is>
          <t>按减值类型</t>
        </is>
      </c>
      <c r="P262" s="21" t="n"/>
    </row>
    <row r="263" outlineLevel="3">
      <c r="A263" s="34" t="inlineStr">
        <is>
          <t>资产减值损失</t>
        </is>
      </c>
      <c r="B263" s="18" t="inlineStr">
        <is>
          <t>指标</t>
        </is>
      </c>
      <c r="C263" s="19" t="inlineStr">
        <is>
          <t>加</t>
        </is>
      </c>
      <c r="D263" s="20" t="n">
        <v>0</v>
      </c>
      <c r="E263" s="18" t="inlineStr">
        <is>
          <t>万元</t>
        </is>
      </c>
      <c r="F263" s="21" t="n"/>
      <c r="G263" s="19" t="n"/>
      <c r="H263" s="22" t="inlineStr">
        <is>
          <t>越小越好</t>
        </is>
      </c>
      <c r="I263" s="22" t="n"/>
      <c r="J263" s="22" t="inlineStr">
        <is>
          <t>资产减值损失金额</t>
        </is>
      </c>
      <c r="K263" s="28" t="inlineStr">
        <is>
          <t>完全一致</t>
        </is>
      </c>
      <c r="L263" s="24" t="n"/>
      <c r="M263" s="25" t="n"/>
      <c r="N263" s="21" t="inlineStr">
        <is>
          <t>拨备减值计提</t>
        </is>
      </c>
      <c r="O263" s="21" t="inlineStr">
        <is>
          <t>按减值类型</t>
        </is>
      </c>
      <c r="P263" s="21" t="inlineStr">
        <is>
          <t>归因分析表 东台农商行 2026年6月本期（万元）</t>
        </is>
      </c>
    </row>
    <row r="264" outlineLevel="3">
      <c r="A264" s="34" t="inlineStr">
        <is>
          <t>信用减值损失</t>
        </is>
      </c>
      <c r="B264" s="18" t="inlineStr">
        <is>
          <t>指标</t>
        </is>
      </c>
      <c r="C264" s="19" t="inlineStr">
        <is>
          <t>加</t>
        </is>
      </c>
      <c r="D264" s="20" t="n">
        <v>17570.47</v>
      </c>
      <c r="E264" s="18" t="inlineStr">
        <is>
          <t>万元</t>
        </is>
      </c>
      <c r="F264" s="21" t="n"/>
      <c r="G264" s="19" t="n"/>
      <c r="H264" s="22" t="inlineStr">
        <is>
          <t>越小越好</t>
        </is>
      </c>
      <c r="I264" s="22" t="n"/>
      <c r="J264" s="22" t="inlineStr">
        <is>
          <t>信用减值损失金额</t>
        </is>
      </c>
      <c r="K264" s="28" t="inlineStr">
        <is>
          <t>完全一致</t>
        </is>
      </c>
      <c r="L264" s="24" t="n"/>
      <c r="M264" s="25" t="n"/>
      <c r="N264" s="21" t="inlineStr">
        <is>
          <t>拨备减值计提</t>
        </is>
      </c>
      <c r="O264" s="21" t="inlineStr">
        <is>
          <t>按减值类型</t>
        </is>
      </c>
      <c r="P264" s="21" t="inlineStr">
        <is>
          <t>归因分析表 东台农商行 2026年6月本期（万元）</t>
        </is>
      </c>
    </row>
    <row r="265" outlineLevel="1">
      <c r="A265" s="17" t="inlineStr">
        <is>
          <t>净利润</t>
        </is>
      </c>
      <c r="B265" s="18" t="inlineStr">
        <is>
          <t>指标</t>
        </is>
      </c>
      <c r="C265" s="19" t="n"/>
      <c r="D265" s="20" t="n">
        <v>31885.68</v>
      </c>
      <c r="E265" s="18" t="inlineStr">
        <is>
          <t>万元</t>
        </is>
      </c>
      <c r="F265" s="21" t="n"/>
      <c r="G265" s="19" t="inlineStr">
        <is>
          <t>是</t>
        </is>
      </c>
      <c r="H265" s="22" t="inlineStr">
        <is>
          <t>越大越好</t>
        </is>
      </c>
      <c r="I265" s="22" t="n"/>
      <c r="J265" s="22" t="inlineStr">
        <is>
          <t>净利润金额；净利润金额_考核</t>
        </is>
      </c>
      <c r="K265" s="32" t="inlineStr">
        <is>
          <t>多个候选，请选择</t>
        </is>
      </c>
      <c r="L265" s="24" t="n"/>
      <c r="M265" s="25" t="inlineStr">
        <is>
          <t>一览表全省值：217.39 亿元</t>
        </is>
      </c>
      <c r="N265" s="21" t="n"/>
      <c r="O265" s="21" t="n"/>
      <c r="P265" s="21" t="inlineStr">
        <is>
          <t>归因分析表 东台农商行 2026年6月本期（万元）</t>
        </is>
      </c>
    </row>
    <row r="266" outlineLevel="2">
      <c r="A266" s="29" t="inlineStr">
        <is>
          <t>〔利润构成〕</t>
        </is>
      </c>
      <c r="B266" s="18" t="inlineStr">
        <is>
          <t>拆解方式</t>
        </is>
      </c>
      <c r="C266" s="18" t="n"/>
      <c r="D266" s="20" t="n"/>
      <c r="E266" s="18" t="n"/>
      <c r="F266" s="21">
        <f>IF((COUNTIFS($N$3:$N$337,N266,$O$3:$O$337,O266,$C$3:$C$337,"加")+COUNTIFS($N$3:$N$337,N266,$O$3:$O$337,O266,$C$3:$C$337,"减"))=0,"其中项，不参与加总",IF(ISNUMBER(D265)=FALSE,"上级无数值，无法校验",IF(SUMPRODUCT(($N$3:$N$337=N266)*($O$3:$O$337=O266)*(($C$3:$C$337="加")+($C$3:$C$337="减"))*(ISNUMBER($D$3:$D$337)=FALSE))&gt;0,"部分下级无数值，无法校验",IF(ABS(D265-(SUMIFS($D$3:$D$337,$N$3:$N$337,N266,$O$3:$O$337,O266,$C$3:$C$337,"加")-SUMIFS($D$3:$D$337,$N$3:$N$337,N266,$O$3:$O$337,O266,$C$3:$C$337,"减")))&lt;=MAX(0.05,ABS(D265)*0.0005),"✓ 合计与上级一致","✗ 合计与上级相差 "&amp;TEXT(D265-(SUMIFS($D$3:$D$337,$N$3:$N$337,N266,$O$3:$O$337,O266,$C$3:$C$337,"加")-SUMIFS($D$3:$D$337,$N$3:$N$337,N266,$O$3:$O$337,O266,$C$3:$C$337,"减")),"#,##0.00")))))</f>
        <v/>
      </c>
      <c r="G266" s="18" t="n"/>
      <c r="H266" s="21" t="n"/>
      <c r="I266" s="21" t="n"/>
      <c r="J266" s="21" t="n"/>
      <c r="K266" s="18" t="n"/>
      <c r="L266" s="18" t="n"/>
      <c r="M266" s="21" t="n"/>
      <c r="N266" s="21" t="inlineStr">
        <is>
          <t>净利润</t>
        </is>
      </c>
      <c r="O266" s="21" t="inlineStr">
        <is>
          <t>利润构成</t>
        </is>
      </c>
      <c r="P266" s="21" t="n"/>
    </row>
    <row r="267" outlineLevel="2">
      <c r="A267" s="30" t="inlineStr">
        <is>
          <t>利润总额</t>
        </is>
      </c>
      <c r="B267" s="18" t="inlineStr">
        <is>
          <t>指标</t>
        </is>
      </c>
      <c r="C267" s="19" t="inlineStr">
        <is>
          <t>加</t>
        </is>
      </c>
      <c r="D267" s="20" t="n">
        <v>32178.94</v>
      </c>
      <c r="E267" s="18" t="inlineStr">
        <is>
          <t>万元</t>
        </is>
      </c>
      <c r="F267" s="21" t="n"/>
      <c r="G267" s="19" t="n"/>
      <c r="H267" s="22" t="inlineStr">
        <is>
          <t>越大越好</t>
        </is>
      </c>
      <c r="I267" s="22" t="n"/>
      <c r="J267" s="22" t="inlineStr">
        <is>
          <t>利润总金额</t>
        </is>
      </c>
      <c r="K267" s="32" t="inlineStr">
        <is>
          <t>近似，请核对</t>
        </is>
      </c>
      <c r="L267" s="24" t="n"/>
      <c r="M267" s="25" t="n"/>
      <c r="N267" s="21" t="inlineStr">
        <is>
          <t>净利润</t>
        </is>
      </c>
      <c r="O267" s="21" t="inlineStr">
        <is>
          <t>利润构成</t>
        </is>
      </c>
      <c r="P267" s="21" t="inlineStr">
        <is>
          <t>归因分析表 东台农商行 2026年6月本期（万元）</t>
        </is>
      </c>
    </row>
    <row r="268" outlineLevel="3">
      <c r="A268" s="33" t="inlineStr">
        <is>
          <t>〔利润构成〕</t>
        </is>
      </c>
      <c r="B268" s="18" t="inlineStr">
        <is>
          <t>拆解方式</t>
        </is>
      </c>
      <c r="C268" s="18" t="n"/>
      <c r="D268" s="20" t="n"/>
      <c r="E268" s="18" t="n"/>
      <c r="F268" s="21">
        <f>IF((COUNTIFS($N$3:$N$337,N268,$O$3:$O$337,O268,$C$3:$C$337,"加")+COUNTIFS($N$3:$N$337,N268,$O$3:$O$337,O268,$C$3:$C$337,"减"))=0,"其中项，不参与加总",IF(ISNUMBER(D267)=FALSE,"上级无数值，无法校验",IF(SUMPRODUCT(($N$3:$N$337=N268)*($O$3:$O$337=O268)*(($C$3:$C$337="加")+($C$3:$C$337="减"))*(ISNUMBER($D$3:$D$337)=FALSE))&gt;0,"部分下级无数值，无法校验",IF(ABS(D267-(SUMIFS($D$3:$D$337,$N$3:$N$337,N268,$O$3:$O$337,O268,$C$3:$C$337,"加")-SUMIFS($D$3:$D$337,$N$3:$N$337,N268,$O$3:$O$337,O268,$C$3:$C$337,"减")))&lt;=MAX(0.05,ABS(D267)*0.0005),"✓ 合计与上级一致","✗ 合计与上级相差 "&amp;TEXT(D267-(SUMIFS($D$3:$D$337,$N$3:$N$337,N268,$O$3:$O$337,O268,$C$3:$C$337,"加")-SUMIFS($D$3:$D$337,$N$3:$N$337,N268,$O$3:$O$337,O268,$C$3:$C$337,"减")),"#,##0.00")))))</f>
        <v/>
      </c>
      <c r="G268" s="18" t="n"/>
      <c r="H268" s="21" t="n"/>
      <c r="I268" s="21" t="n"/>
      <c r="J268" s="21" t="n"/>
      <c r="K268" s="18" t="n"/>
      <c r="L268" s="18" t="n"/>
      <c r="M268" s="21" t="n"/>
      <c r="N268" s="21" t="inlineStr">
        <is>
          <t>利润总额</t>
        </is>
      </c>
      <c r="O268" s="21" t="inlineStr">
        <is>
          <t>利润构成</t>
        </is>
      </c>
      <c r="P268" s="21" t="n"/>
    </row>
    <row r="269" outlineLevel="3">
      <c r="A269" s="34" t="inlineStr">
        <is>
          <t>营业利润</t>
        </is>
      </c>
      <c r="B269" s="18" t="inlineStr">
        <is>
          <t>指标</t>
        </is>
      </c>
      <c r="C269" s="19" t="inlineStr">
        <is>
          <t>加</t>
        </is>
      </c>
      <c r="D269" s="20" t="n">
        <v>32429.39</v>
      </c>
      <c r="E269" s="18" t="inlineStr">
        <is>
          <t>万元</t>
        </is>
      </c>
      <c r="F269" s="21" t="n"/>
      <c r="G269" s="19" t="n"/>
      <c r="H269" s="22" t="inlineStr">
        <is>
          <t>越大越好</t>
        </is>
      </c>
      <c r="I269" s="22" t="n"/>
      <c r="J269" s="22" t="inlineStr">
        <is>
          <t>营业利润金额</t>
        </is>
      </c>
      <c r="K269" s="28" t="inlineStr">
        <is>
          <t>完全一致</t>
        </is>
      </c>
      <c r="L269" s="24" t="n"/>
      <c r="M269" s="25" t="n"/>
      <c r="N269" s="21" t="inlineStr">
        <is>
          <t>利润总额</t>
        </is>
      </c>
      <c r="O269" s="21" t="inlineStr">
        <is>
          <t>利润构成</t>
        </is>
      </c>
      <c r="P269" s="21" t="inlineStr">
        <is>
          <t>归因分析表 东台农商行 2026年6月本期（万元）</t>
        </is>
      </c>
    </row>
    <row r="270" outlineLevel="4">
      <c r="A270" s="36" t="inlineStr">
        <is>
          <t>〔利润构成〕</t>
        </is>
      </c>
      <c r="B270" s="18" t="inlineStr">
        <is>
          <t>拆解方式</t>
        </is>
      </c>
      <c r="C270" s="18" t="n"/>
      <c r="D270" s="20" t="n"/>
      <c r="E270" s="18" t="n"/>
      <c r="F270" s="21">
        <f>IF((COUNTIFS($N$3:$N$337,N270,$O$3:$O$337,O270,$C$3:$C$337,"加")+COUNTIFS($N$3:$N$337,N270,$O$3:$O$337,O270,$C$3:$C$337,"减"))=0,"其中项，不参与加总",IF(ISNUMBER(D269)=FALSE,"上级无数值，无法校验",IF(SUMPRODUCT(($N$3:$N$337=N270)*($O$3:$O$337=O270)*(($C$3:$C$337="加")+($C$3:$C$337="减"))*(ISNUMBER($D$3:$D$337)=FALSE))&gt;0,"部分下级无数值，无法校验",IF(ABS(D269-(SUMIFS($D$3:$D$337,$N$3:$N$337,N270,$O$3:$O$337,O270,$C$3:$C$337,"加")-SUMIFS($D$3:$D$337,$N$3:$N$337,N270,$O$3:$O$337,O270,$C$3:$C$337,"减")))&lt;=MAX(0.05,ABS(D269)*0.0005),"✓ 合计与上级一致","✗ 合计与上级相差 "&amp;TEXT(D269-(SUMIFS($D$3:$D$337,$N$3:$N$337,N270,$O$3:$O$337,O270,$C$3:$C$337,"加")-SUMIFS($D$3:$D$337,$N$3:$N$337,N270,$O$3:$O$337,O270,$C$3:$C$337,"减")),"#,##0.00")))))</f>
        <v/>
      </c>
      <c r="G270" s="18" t="n"/>
      <c r="H270" s="21" t="n"/>
      <c r="I270" s="21" t="n"/>
      <c r="J270" s="21" t="n"/>
      <c r="K270" s="18" t="n"/>
      <c r="L270" s="18" t="n"/>
      <c r="M270" s="21" t="inlineStr">
        <is>
          <t>此处营业收入 103,823.82、营业支出 71,394.43，与下方拆解中的 88,953.03、71,054.40 不一致，口径可能不同，请业务确认</t>
        </is>
      </c>
      <c r="N270" s="21" t="inlineStr">
        <is>
          <t>营业利润</t>
        </is>
      </c>
      <c r="O270" s="21" t="inlineStr">
        <is>
          <t>利润构成</t>
        </is>
      </c>
      <c r="P270" s="21" t="n"/>
    </row>
    <row r="271" outlineLevel="4">
      <c r="A271" s="37" t="inlineStr">
        <is>
          <t>营业收入</t>
        </is>
      </c>
      <c r="B271" s="18" t="inlineStr">
        <is>
          <t>指标</t>
        </is>
      </c>
      <c r="C271" s="19" t="inlineStr">
        <is>
          <t>加</t>
        </is>
      </c>
      <c r="D271" s="20" t="n">
        <v>103823.82</v>
      </c>
      <c r="E271" s="18" t="inlineStr">
        <is>
          <t>万元</t>
        </is>
      </c>
      <c r="F271" s="21" t="n"/>
      <c r="G271" s="19" t="n"/>
      <c r="H271" s="22" t="inlineStr">
        <is>
          <t>越大越好</t>
        </is>
      </c>
      <c r="I271" s="22" t="n"/>
      <c r="J271" s="22" t="inlineStr">
        <is>
          <t>营业收入金额</t>
        </is>
      </c>
      <c r="K271" s="28" t="inlineStr">
        <is>
          <t>完全一致</t>
        </is>
      </c>
      <c r="L271" s="24" t="n"/>
      <c r="M271" s="25" t="n"/>
      <c r="N271" s="21" t="inlineStr">
        <is>
          <t>营业利润</t>
        </is>
      </c>
      <c r="O271" s="21" t="inlineStr">
        <is>
          <t>利润构成</t>
        </is>
      </c>
      <c r="P271" s="21" t="inlineStr">
        <is>
          <t>归因分析表 东台农商行 2026年6月本期（万元）</t>
        </is>
      </c>
    </row>
    <row r="272" outlineLevel="5">
      <c r="A272" s="40" t="inlineStr">
        <is>
          <t>〔按收入类型〕</t>
        </is>
      </c>
      <c r="B272" s="18" t="inlineStr">
        <is>
          <t>拆解方式</t>
        </is>
      </c>
      <c r="C272" s="18" t="n"/>
      <c r="D272" s="20" t="n"/>
      <c r="E272" s="18" t="n"/>
      <c r="F272" s="21">
        <f>IF((COUNTIFS($N$3:$N$337,N272,$O$3:$O$337,O272,$C$3:$C$337,"加")+COUNTIFS($N$3:$N$337,N272,$O$3:$O$337,O272,$C$3:$C$337,"减"))=0,"其中项，不参与加总",IF(ISNUMBER(D271)=FALSE,"上级无数值，无法校验",IF(SUMPRODUCT(($N$3:$N$337=N272)*($O$3:$O$337=O272)*(($C$3:$C$337="加")+($C$3:$C$337="减"))*(ISNUMBER($D$3:$D$337)=FALSE))&gt;0,"部分下级无数值，无法校验",IF(ABS(D271-(SUMIFS($D$3:$D$337,$N$3:$N$337,N272,$O$3:$O$337,O272,$C$3:$C$337,"加")-SUMIFS($D$3:$D$337,$N$3:$N$337,N272,$O$3:$O$337,O272,$C$3:$C$337,"减")))&lt;=MAX(0.05,ABS(D271)*0.0005),"✓ 合计与上级一致","✗ 合计与上级相差 "&amp;TEXT(D271-(SUMIFS($D$3:$D$337,$N$3:$N$337,N272,$O$3:$O$337,O272,$C$3:$C$337,"加")-SUMIFS($D$3:$D$337,$N$3:$N$337,N272,$O$3:$O$337,O272,$C$3:$C$337,"减")),"#,##0.00")))))</f>
        <v/>
      </c>
      <c r="G272" s="18" t="n"/>
      <c r="H272" s="21" t="n"/>
      <c r="I272" s="21" t="n"/>
      <c r="J272" s="21" t="n"/>
      <c r="K272" s="18" t="n"/>
      <c r="L272" s="18" t="n"/>
      <c r="M272" s="21" t="inlineStr">
        <is>
          <t>源表中本组上级数值为 88,953.03，与上级行显示的 103,823.82 不一致，请业务确认口径</t>
        </is>
      </c>
      <c r="N272" s="21" t="inlineStr">
        <is>
          <t>营业收入</t>
        </is>
      </c>
      <c r="O272" s="21" t="inlineStr">
        <is>
          <t>按收入类型</t>
        </is>
      </c>
      <c r="P272" s="21" t="n"/>
    </row>
    <row r="273" outlineLevel="5">
      <c r="A273" s="41" t="inlineStr">
        <is>
          <t>利息收入</t>
        </is>
      </c>
      <c r="B273" s="18" t="inlineStr">
        <is>
          <t>指标</t>
        </is>
      </c>
      <c r="C273" s="19" t="inlineStr">
        <is>
          <t>加</t>
        </is>
      </c>
      <c r="D273" s="20" t="n">
        <v>46566.1</v>
      </c>
      <c r="E273" s="18" t="inlineStr">
        <is>
          <t>万元</t>
        </is>
      </c>
      <c r="F273" s="21" t="n"/>
      <c r="G273" s="19" t="n"/>
      <c r="H273" s="22" t="inlineStr">
        <is>
          <t>越大越好</t>
        </is>
      </c>
      <c r="I273" s="22" t="n"/>
      <c r="J273" s="22" t="inlineStr">
        <is>
          <t>利息收入金额</t>
        </is>
      </c>
      <c r="K273" s="28" t="inlineStr">
        <is>
          <t>完全一致</t>
        </is>
      </c>
      <c r="L273" s="24" t="n"/>
      <c r="M273" s="25" t="n"/>
      <c r="N273" s="21" t="inlineStr">
        <is>
          <t>营业收入</t>
        </is>
      </c>
      <c r="O273" s="21" t="inlineStr">
        <is>
          <t>按收入类型</t>
        </is>
      </c>
      <c r="P273" s="21" t="inlineStr">
        <is>
          <t>归因分析表 东台农商行 2026年6月本期（万元）</t>
        </is>
      </c>
    </row>
    <row r="274" outlineLevel="6">
      <c r="A274" s="42" t="inlineStr">
        <is>
          <t>〔按贷款类型〕</t>
        </is>
      </c>
      <c r="B274" s="18" t="inlineStr">
        <is>
          <t>拆解方式</t>
        </is>
      </c>
      <c r="C274" s="18" t="n"/>
      <c r="D274" s="20" t="n"/>
      <c r="E274" s="18" t="n"/>
      <c r="F274" s="21">
        <f>IF((COUNTIFS($N$3:$N$337,N274,$O$3:$O$337,O274,$C$3:$C$337,"加")+COUNTIFS($N$3:$N$337,N274,$O$3:$O$337,O274,$C$3:$C$337,"减"))=0,"其中项，不参与加总",IF(ISNUMBER(D273)=FALSE,"上级无数值，无法校验",IF(SUMPRODUCT(($N$3:$N$337=N274)*($O$3:$O$337=O274)*(($C$3:$C$337="加")+($C$3:$C$337="减"))*(ISNUMBER($D$3:$D$337)=FALSE))&gt;0,"部分下级无数值，无法校验",IF(ABS(D273-(SUMIFS($D$3:$D$337,$N$3:$N$337,N274,$O$3:$O$337,O274,$C$3:$C$337,"加")-SUMIFS($D$3:$D$337,$N$3:$N$337,N274,$O$3:$O$337,O274,$C$3:$C$337,"减")))&lt;=MAX(0.05,ABS(D273)*0.0005),"✓ 合计与上级一致","✗ 合计与上级相差 "&amp;TEXT(D273-(SUMIFS($D$3:$D$337,$N$3:$N$337,N274,$O$3:$O$337,O274,$C$3:$C$337,"加")-SUMIFS($D$3:$D$337,$N$3:$N$337,N274,$O$3:$O$337,O274,$C$3:$C$337,"减")),"#,##0.00")))))</f>
        <v/>
      </c>
      <c r="G274" s="18" t="n"/>
      <c r="H274" s="21" t="n"/>
      <c r="I274" s="21" t="n"/>
      <c r="J274" s="21" t="n"/>
      <c r="K274" s="18" t="n"/>
      <c r="L274" s="18" t="n"/>
      <c r="M274" s="21" t="n"/>
      <c r="N274" s="21" t="inlineStr">
        <is>
          <t>利息收入</t>
        </is>
      </c>
      <c r="O274" s="21" t="inlineStr">
        <is>
          <t>按贷款类型</t>
        </is>
      </c>
      <c r="P274" s="21" t="n"/>
    </row>
    <row r="275" outlineLevel="6">
      <c r="A275" s="43" t="inlineStr">
        <is>
          <t>农户贷款利息收入</t>
        </is>
      </c>
      <c r="B275" s="18" t="inlineStr">
        <is>
          <t>指标</t>
        </is>
      </c>
      <c r="C275" s="19" t="inlineStr">
        <is>
          <t>加</t>
        </is>
      </c>
      <c r="D275" s="20" t="n">
        <v>0</v>
      </c>
      <c r="E275" s="18" t="inlineStr">
        <is>
          <t>万元</t>
        </is>
      </c>
      <c r="F275" s="21" t="n"/>
      <c r="G275" s="19" t="n"/>
      <c r="H275" s="22" t="inlineStr">
        <is>
          <t>越大越好</t>
        </is>
      </c>
      <c r="I275" s="22" t="n"/>
      <c r="J275" s="22" t="inlineStr">
        <is>
          <t>农户贷款利息收入金额</t>
        </is>
      </c>
      <c r="K275" s="28" t="inlineStr">
        <is>
          <t>完全一致</t>
        </is>
      </c>
      <c r="L275" s="24" t="n"/>
      <c r="M275" s="25" t="n"/>
      <c r="N275" s="21" t="inlineStr">
        <is>
          <t>利息收入</t>
        </is>
      </c>
      <c r="O275" s="21" t="inlineStr">
        <is>
          <t>按贷款类型</t>
        </is>
      </c>
      <c r="P275" s="21" t="inlineStr">
        <is>
          <t>归因分析表 东台农商行 2026年6月本期（万元）</t>
        </is>
      </c>
    </row>
    <row r="276" outlineLevel="6">
      <c r="A276" s="43" t="inlineStr">
        <is>
          <t>农村经济组织贷款利息收入</t>
        </is>
      </c>
      <c r="B276" s="18" t="inlineStr">
        <is>
          <t>指标</t>
        </is>
      </c>
      <c r="C276" s="19" t="inlineStr">
        <is>
          <t>加</t>
        </is>
      </c>
      <c r="D276" s="20" t="n">
        <v>164.16</v>
      </c>
      <c r="E276" s="18" t="inlineStr">
        <is>
          <t>万元</t>
        </is>
      </c>
      <c r="F276" s="21" t="n"/>
      <c r="G276" s="19" t="n"/>
      <c r="H276" s="22" t="inlineStr">
        <is>
          <t>越大越好</t>
        </is>
      </c>
      <c r="I276" s="22" t="n"/>
      <c r="J276" s="22" t="inlineStr">
        <is>
          <t>农村经济组织贷款利息收入金额</t>
        </is>
      </c>
      <c r="K276" s="28" t="inlineStr">
        <is>
          <t>完全一致</t>
        </is>
      </c>
      <c r="L276" s="24" t="n"/>
      <c r="M276" s="25" t="n"/>
      <c r="N276" s="21" t="inlineStr">
        <is>
          <t>利息收入</t>
        </is>
      </c>
      <c r="O276" s="21" t="inlineStr">
        <is>
          <t>按贷款类型</t>
        </is>
      </c>
      <c r="P276" s="21" t="inlineStr">
        <is>
          <t>归因分析表 东台农商行 2026年6月本期（万元）</t>
        </is>
      </c>
    </row>
    <row r="277" outlineLevel="6">
      <c r="A277" s="43" t="inlineStr">
        <is>
          <t>农村企业贷款利息收入</t>
        </is>
      </c>
      <c r="B277" s="18" t="inlineStr">
        <is>
          <t>指标</t>
        </is>
      </c>
      <c r="C277" s="19" t="inlineStr">
        <is>
          <t>加</t>
        </is>
      </c>
      <c r="D277" s="20" t="n">
        <v>19136.38</v>
      </c>
      <c r="E277" s="18" t="inlineStr">
        <is>
          <t>万元</t>
        </is>
      </c>
      <c r="F277" s="21" t="n"/>
      <c r="G277" s="19" t="n"/>
      <c r="H277" s="22" t="inlineStr">
        <is>
          <t>越大越好</t>
        </is>
      </c>
      <c r="I277" s="22" t="n"/>
      <c r="J277" s="22" t="inlineStr">
        <is>
          <t>农村企业贷款利息收入金额</t>
        </is>
      </c>
      <c r="K277" s="28" t="inlineStr">
        <is>
          <t>完全一致</t>
        </is>
      </c>
      <c r="L277" s="24" t="n"/>
      <c r="M277" s="25" t="n"/>
      <c r="N277" s="21" t="inlineStr">
        <is>
          <t>利息收入</t>
        </is>
      </c>
      <c r="O277" s="21" t="inlineStr">
        <is>
          <t>按贷款类型</t>
        </is>
      </c>
      <c r="P277" s="21" t="inlineStr">
        <is>
          <t>归因分析表 东台农商行 2026年6月本期（万元）</t>
        </is>
      </c>
    </row>
    <row r="278" outlineLevel="6">
      <c r="A278" s="43" t="inlineStr">
        <is>
          <t>非农贷款利息收入</t>
        </is>
      </c>
      <c r="B278" s="18" t="inlineStr">
        <is>
          <t>指标</t>
        </is>
      </c>
      <c r="C278" s="19" t="inlineStr">
        <is>
          <t>加</t>
        </is>
      </c>
      <c r="D278" s="20" t="n">
        <v>20974.62</v>
      </c>
      <c r="E278" s="18" t="inlineStr">
        <is>
          <t>万元</t>
        </is>
      </c>
      <c r="F278" s="21" t="n"/>
      <c r="G278" s="19" t="n"/>
      <c r="H278" s="22" t="inlineStr">
        <is>
          <t>越大越好</t>
        </is>
      </c>
      <c r="I278" s="22" t="n"/>
      <c r="J278" s="22" t="inlineStr">
        <is>
          <t>非农贷款利息收入金额</t>
        </is>
      </c>
      <c r="K278" s="28" t="inlineStr">
        <is>
          <t>完全一致</t>
        </is>
      </c>
      <c r="L278" s="24" t="n"/>
      <c r="M278" s="25" t="n"/>
      <c r="N278" s="21" t="inlineStr">
        <is>
          <t>利息收入</t>
        </is>
      </c>
      <c r="O278" s="21" t="inlineStr">
        <is>
          <t>按贷款类型</t>
        </is>
      </c>
      <c r="P278" s="21" t="inlineStr">
        <is>
          <t>归因分析表 东台农商行 2026年6月本期（万元）</t>
        </is>
      </c>
    </row>
    <row r="279" outlineLevel="6">
      <c r="A279" s="43" t="inlineStr">
        <is>
          <t>信用卡透支利息收入</t>
        </is>
      </c>
      <c r="B279" s="18" t="inlineStr">
        <is>
          <t>指标</t>
        </is>
      </c>
      <c r="C279" s="19" t="inlineStr">
        <is>
          <t>加</t>
        </is>
      </c>
      <c r="D279" s="20" t="n">
        <v>480.43</v>
      </c>
      <c r="E279" s="18" t="inlineStr">
        <is>
          <t>万元</t>
        </is>
      </c>
      <c r="F279" s="21" t="n"/>
      <c r="G279" s="19" t="n"/>
      <c r="H279" s="22" t="inlineStr">
        <is>
          <t>越大越好</t>
        </is>
      </c>
      <c r="I279" s="22" t="n"/>
      <c r="J279" s="22" t="inlineStr">
        <is>
          <t>信用卡透支利息收入金额</t>
        </is>
      </c>
      <c r="K279" s="28" t="inlineStr">
        <is>
          <t>完全一致</t>
        </is>
      </c>
      <c r="L279" s="24" t="n"/>
      <c r="M279" s="25" t="n"/>
      <c r="N279" s="21" t="inlineStr">
        <is>
          <t>利息收入</t>
        </is>
      </c>
      <c r="O279" s="21" t="inlineStr">
        <is>
          <t>按贷款类型</t>
        </is>
      </c>
      <c r="P279" s="21" t="inlineStr">
        <is>
          <t>归因分析表 东台农商行 2026年6月本期（万元）</t>
        </is>
      </c>
    </row>
    <row r="280" outlineLevel="6">
      <c r="A280" s="43" t="inlineStr">
        <is>
          <t>贴现利息收入</t>
        </is>
      </c>
      <c r="B280" s="18" t="inlineStr">
        <is>
          <t>指标</t>
        </is>
      </c>
      <c r="C280" s="19" t="inlineStr">
        <is>
          <t>加</t>
        </is>
      </c>
      <c r="D280" s="20" t="n">
        <v>3401.05</v>
      </c>
      <c r="E280" s="18" t="inlineStr">
        <is>
          <t>万元</t>
        </is>
      </c>
      <c r="F280" s="21" t="n"/>
      <c r="G280" s="19" t="n"/>
      <c r="H280" s="22" t="inlineStr">
        <is>
          <t>越大越好</t>
        </is>
      </c>
      <c r="I280" s="22" t="n"/>
      <c r="J280" s="22" t="inlineStr">
        <is>
          <t>贴现利息收入金额</t>
        </is>
      </c>
      <c r="K280" s="28" t="inlineStr">
        <is>
          <t>完全一致</t>
        </is>
      </c>
      <c r="L280" s="24" t="n"/>
      <c r="M280" s="25" t="n"/>
      <c r="N280" s="21" t="inlineStr">
        <is>
          <t>利息收入</t>
        </is>
      </c>
      <c r="O280" s="21" t="inlineStr">
        <is>
          <t>按贷款类型</t>
        </is>
      </c>
      <c r="P280" s="21" t="inlineStr">
        <is>
          <t>归因分析表 东台农商行 2026年6月本期（万元）</t>
        </is>
      </c>
    </row>
    <row r="281" outlineLevel="6">
      <c r="A281" s="43" t="inlineStr">
        <is>
          <t>贸易融资利息收入</t>
        </is>
      </c>
      <c r="B281" s="18" t="inlineStr">
        <is>
          <t>指标</t>
        </is>
      </c>
      <c r="C281" s="19" t="inlineStr">
        <is>
          <t>加</t>
        </is>
      </c>
      <c r="D281" s="20" t="n">
        <v>2409.46</v>
      </c>
      <c r="E281" s="18" t="inlineStr">
        <is>
          <t>万元</t>
        </is>
      </c>
      <c r="F281" s="21" t="n"/>
      <c r="G281" s="19" t="n"/>
      <c r="H281" s="22" t="inlineStr">
        <is>
          <t>越大越好</t>
        </is>
      </c>
      <c r="I281" s="22" t="n"/>
      <c r="J281" s="22" t="inlineStr">
        <is>
          <t>贸易融资利息收入金额</t>
        </is>
      </c>
      <c r="K281" s="28" t="inlineStr">
        <is>
          <t>完全一致</t>
        </is>
      </c>
      <c r="L281" s="24" t="n"/>
      <c r="M281" s="25" t="n"/>
      <c r="N281" s="21" t="inlineStr">
        <is>
          <t>利息收入</t>
        </is>
      </c>
      <c r="O281" s="21" t="inlineStr">
        <is>
          <t>按贷款类型</t>
        </is>
      </c>
      <c r="P281" s="21" t="inlineStr">
        <is>
          <t>归因分析表 东台农商行 2026年6月本期（万元）</t>
        </is>
      </c>
    </row>
    <row r="282" outlineLevel="6">
      <c r="A282" s="43" t="inlineStr">
        <is>
          <t>垫款利息收入</t>
        </is>
      </c>
      <c r="B282" s="18" t="inlineStr">
        <is>
          <t>指标</t>
        </is>
      </c>
      <c r="C282" s="19" t="inlineStr">
        <is>
          <t>加</t>
        </is>
      </c>
      <c r="D282" s="20" t="n">
        <v>0</v>
      </c>
      <c r="E282" s="18" t="inlineStr">
        <is>
          <t>万元</t>
        </is>
      </c>
      <c r="F282" s="21" t="n"/>
      <c r="G282" s="19" t="n"/>
      <c r="H282" s="22" t="inlineStr">
        <is>
          <t>越大越好</t>
        </is>
      </c>
      <c r="I282" s="22" t="n"/>
      <c r="J282" s="22" t="inlineStr">
        <is>
          <t>垫款利息收入金额</t>
        </is>
      </c>
      <c r="K282" s="28" t="inlineStr">
        <is>
          <t>完全一致</t>
        </is>
      </c>
      <c r="L282" s="24" t="n"/>
      <c r="M282" s="25" t="n"/>
      <c r="N282" s="21" t="inlineStr">
        <is>
          <t>利息收入</t>
        </is>
      </c>
      <c r="O282" s="21" t="inlineStr">
        <is>
          <t>按贷款类型</t>
        </is>
      </c>
      <c r="P282" s="21" t="inlineStr">
        <is>
          <t>归因分析表 东台农商行 2026年6月本期（万元）</t>
        </is>
      </c>
    </row>
    <row r="283" outlineLevel="6">
      <c r="A283" s="43" t="inlineStr">
        <is>
          <t>已减值贷款利息收入</t>
        </is>
      </c>
      <c r="B283" s="18" t="inlineStr">
        <is>
          <t>指标</t>
        </is>
      </c>
      <c r="C283" s="19" t="inlineStr">
        <is>
          <t>加</t>
        </is>
      </c>
      <c r="D283" s="20" t="n">
        <v>0</v>
      </c>
      <c r="E283" s="18" t="inlineStr">
        <is>
          <t>万元</t>
        </is>
      </c>
      <c r="F283" s="21" t="n"/>
      <c r="G283" s="19" t="n"/>
      <c r="H283" s="22" t="inlineStr">
        <is>
          <t>越大越好</t>
        </is>
      </c>
      <c r="I283" s="22" t="n"/>
      <c r="J283" s="22" t="inlineStr">
        <is>
          <t>已减值贷款利息收入金额</t>
        </is>
      </c>
      <c r="K283" s="28" t="inlineStr">
        <is>
          <t>完全一致</t>
        </is>
      </c>
      <c r="L283" s="24" t="n"/>
      <c r="M283" s="25" t="n"/>
      <c r="N283" s="21" t="inlineStr">
        <is>
          <t>利息收入</t>
        </is>
      </c>
      <c r="O283" s="21" t="inlineStr">
        <is>
          <t>按贷款类型</t>
        </is>
      </c>
      <c r="P283" s="21" t="inlineStr">
        <is>
          <t>归因分析表 东台农商行 2026年6月本期（万元）</t>
        </is>
      </c>
    </row>
    <row r="284" outlineLevel="6">
      <c r="A284" s="43" t="inlineStr">
        <is>
          <t>其他利息收入</t>
        </is>
      </c>
      <c r="B284" s="18" t="inlineStr">
        <is>
          <t>指标</t>
        </is>
      </c>
      <c r="C284" s="19" t="inlineStr">
        <is>
          <t>加</t>
        </is>
      </c>
      <c r="D284" s="20" t="n">
        <v>0</v>
      </c>
      <c r="E284" s="18" t="inlineStr">
        <is>
          <t>万元</t>
        </is>
      </c>
      <c r="F284" s="21" t="n"/>
      <c r="G284" s="19" t="n"/>
      <c r="H284" s="22" t="inlineStr">
        <is>
          <t>越大越好</t>
        </is>
      </c>
      <c r="I284" s="22" t="n"/>
      <c r="J284" s="22" t="n"/>
      <c r="K284" s="23" t="inlineStr">
        <is>
          <t>目录中未找到</t>
        </is>
      </c>
      <c r="L284" s="24" t="n"/>
      <c r="M284" s="25" t="n"/>
      <c r="N284" s="21" t="inlineStr">
        <is>
          <t>利息收入</t>
        </is>
      </c>
      <c r="O284" s="21" t="inlineStr">
        <is>
          <t>按贷款类型</t>
        </is>
      </c>
      <c r="P284" s="21" t="inlineStr">
        <is>
          <t>归因分析表 东台农商行 2026年6月本期（万元）</t>
        </is>
      </c>
    </row>
    <row r="285" outlineLevel="5">
      <c r="A285" s="41" t="inlineStr">
        <is>
          <t>金融市场收入</t>
        </is>
      </c>
      <c r="B285" s="18" t="inlineStr">
        <is>
          <t>指标</t>
        </is>
      </c>
      <c r="C285" s="19" t="inlineStr">
        <is>
          <t>加</t>
        </is>
      </c>
      <c r="D285" s="20" t="n">
        <v>41458.21</v>
      </c>
      <c r="E285" s="18" t="inlineStr">
        <is>
          <t>万元</t>
        </is>
      </c>
      <c r="F285" s="21" t="n"/>
      <c r="G285" s="19" t="n"/>
      <c r="H285" s="22" t="inlineStr">
        <is>
          <t>越大越好</t>
        </is>
      </c>
      <c r="I285" s="22" t="n"/>
      <c r="J285" s="22" t="inlineStr">
        <is>
          <t>金融市场收入金额</t>
        </is>
      </c>
      <c r="K285" s="28" t="inlineStr">
        <is>
          <t>完全一致</t>
        </is>
      </c>
      <c r="L285" s="24" t="n"/>
      <c r="M285" s="25" t="n"/>
      <c r="N285" s="21" t="inlineStr">
        <is>
          <t>营业收入</t>
        </is>
      </c>
      <c r="O285" s="21" t="inlineStr">
        <is>
          <t>按收入类型</t>
        </is>
      </c>
      <c r="P285" s="21" t="inlineStr">
        <is>
          <t>归因分析表 东台农商行 2026年6月本期（万元）</t>
        </is>
      </c>
    </row>
    <row r="286" outlineLevel="6">
      <c r="A286" s="42" t="inlineStr">
        <is>
          <t>〔按收入类型〕</t>
        </is>
      </c>
      <c r="B286" s="18" t="inlineStr">
        <is>
          <t>拆解方式</t>
        </is>
      </c>
      <c r="C286" s="18" t="n"/>
      <c r="D286" s="20" t="n"/>
      <c r="E286" s="18" t="n"/>
      <c r="F286" s="21">
        <f>IF((COUNTIFS($N$3:$N$337,N286,$O$3:$O$337,O286,$C$3:$C$337,"加")+COUNTIFS($N$3:$N$337,N286,$O$3:$O$337,O286,$C$3:$C$337,"减"))=0,"其中项，不参与加总",IF(ISNUMBER(D285)=FALSE,"上级无数值，无法校验",IF(SUMPRODUCT(($N$3:$N$337=N286)*($O$3:$O$337=O286)*(($C$3:$C$337="加")+($C$3:$C$337="减"))*(ISNUMBER($D$3:$D$337)=FALSE))&gt;0,"部分下级无数值，无法校验",IF(ABS(D285-(SUMIFS($D$3:$D$337,$N$3:$N$337,N286,$O$3:$O$337,O286,$C$3:$C$337,"加")-SUMIFS($D$3:$D$337,$N$3:$N$337,N286,$O$3:$O$337,O286,$C$3:$C$337,"减")))&lt;=MAX(0.05,ABS(D285)*0.0005),"✓ 合计与上级一致","✗ 合计与上级相差 "&amp;TEXT(D285-(SUMIFS($D$3:$D$337,$N$3:$N$337,N286,$O$3:$O$337,O286,$C$3:$C$337,"加")-SUMIFS($D$3:$D$337,$N$3:$N$337,N286,$O$3:$O$337,O286,$C$3:$C$337,"减")),"#,##0.00")))))</f>
        <v/>
      </c>
      <c r="G286" s="18" t="n"/>
      <c r="H286" s="21" t="n"/>
      <c r="I286" s="21" t="n"/>
      <c r="J286" s="21" t="n"/>
      <c r="K286" s="18" t="n"/>
      <c r="L286" s="18" t="n"/>
      <c r="M286" s="21" t="n"/>
      <c r="N286" s="21" t="inlineStr">
        <is>
          <t>金融市场收入</t>
        </is>
      </c>
      <c r="O286" s="21" t="inlineStr">
        <is>
          <t>按收入类型</t>
        </is>
      </c>
      <c r="P286" s="21" t="n"/>
    </row>
    <row r="287" outlineLevel="6">
      <c r="A287" s="43" t="inlineStr">
        <is>
          <t>金融机构往来收入</t>
        </is>
      </c>
      <c r="B287" s="18" t="inlineStr">
        <is>
          <t>指标</t>
        </is>
      </c>
      <c r="C287" s="19" t="inlineStr">
        <is>
          <t>加</t>
        </is>
      </c>
      <c r="D287" s="20" t="n">
        <v>4915.03</v>
      </c>
      <c r="E287" s="18" t="inlineStr">
        <is>
          <t>万元</t>
        </is>
      </c>
      <c r="F287" s="21" t="n"/>
      <c r="G287" s="19" t="n"/>
      <c r="H287" s="22" t="inlineStr">
        <is>
          <t>越大越好</t>
        </is>
      </c>
      <c r="I287" s="22" t="n"/>
      <c r="J287" s="22" t="inlineStr">
        <is>
          <t>金融机构往来收入金额</t>
        </is>
      </c>
      <c r="K287" s="28" t="inlineStr">
        <is>
          <t>完全一致</t>
        </is>
      </c>
      <c r="L287" s="24" t="n"/>
      <c r="M287" s="25" t="n"/>
      <c r="N287" s="21" t="inlineStr">
        <is>
          <t>金融市场收入</t>
        </is>
      </c>
      <c r="O287" s="21" t="inlineStr">
        <is>
          <t>按收入类型</t>
        </is>
      </c>
      <c r="P287" s="21" t="inlineStr">
        <is>
          <t>归因分析表 东台农商行 2026年6月本期（万元）</t>
        </is>
      </c>
    </row>
    <row r="288" outlineLevel="6">
      <c r="A288" s="43" t="inlineStr">
        <is>
          <t>公允价值变动损益</t>
        </is>
      </c>
      <c r="B288" s="18" t="inlineStr">
        <is>
          <t>指标</t>
        </is>
      </c>
      <c r="C288" s="19" t="inlineStr">
        <is>
          <t>加</t>
        </is>
      </c>
      <c r="D288" s="20" t="n">
        <v>0</v>
      </c>
      <c r="E288" s="18" t="inlineStr">
        <is>
          <t>万元</t>
        </is>
      </c>
      <c r="F288" s="21" t="n"/>
      <c r="G288" s="19" t="n"/>
      <c r="H288" s="22" t="inlineStr">
        <is>
          <t>越大越好</t>
        </is>
      </c>
      <c r="I288" s="22" t="n"/>
      <c r="J288" s="22" t="inlineStr">
        <is>
          <t>公允价值变动损益金额</t>
        </is>
      </c>
      <c r="K288" s="28" t="inlineStr">
        <is>
          <t>完全一致</t>
        </is>
      </c>
      <c r="L288" s="24" t="n"/>
      <c r="M288" s="25" t="n"/>
      <c r="N288" s="21" t="inlineStr">
        <is>
          <t>金融市场收入</t>
        </is>
      </c>
      <c r="O288" s="21" t="inlineStr">
        <is>
          <t>按收入类型</t>
        </is>
      </c>
      <c r="P288" s="21" t="inlineStr">
        <is>
          <t>归因分析表 东台农商行 2026年6月本期（万元）</t>
        </is>
      </c>
    </row>
    <row r="289" outlineLevel="6">
      <c r="A289" s="43" t="inlineStr">
        <is>
          <t>投资收益</t>
        </is>
      </c>
      <c r="B289" s="18" t="inlineStr">
        <is>
          <t>指标</t>
        </is>
      </c>
      <c r="C289" s="19" t="inlineStr">
        <is>
          <t>加</t>
        </is>
      </c>
      <c r="D289" s="20" t="n">
        <v>36548.7</v>
      </c>
      <c r="E289" s="18" t="inlineStr">
        <is>
          <t>万元</t>
        </is>
      </c>
      <c r="F289" s="21" t="n"/>
      <c r="G289" s="19" t="n"/>
      <c r="H289" s="22" t="inlineStr">
        <is>
          <t>越大越好</t>
        </is>
      </c>
      <c r="I289" s="22" t="n"/>
      <c r="J289" s="22" t="inlineStr">
        <is>
          <t>投资收益金额</t>
        </is>
      </c>
      <c r="K289" s="28" t="inlineStr">
        <is>
          <t>完全一致</t>
        </is>
      </c>
      <c r="L289" s="24" t="n"/>
      <c r="M289" s="25" t="n"/>
      <c r="N289" s="21" t="inlineStr">
        <is>
          <t>金融市场收入</t>
        </is>
      </c>
      <c r="O289" s="21" t="inlineStr">
        <is>
          <t>按收入类型</t>
        </is>
      </c>
      <c r="P289" s="21" t="inlineStr">
        <is>
          <t>归因分析表 东台农商行 2026年6月本期（万元）</t>
        </is>
      </c>
    </row>
    <row r="290" outlineLevel="6">
      <c r="A290" s="43" t="inlineStr">
        <is>
          <t>汇兑损益</t>
        </is>
      </c>
      <c r="B290" s="18" t="inlineStr">
        <is>
          <t>指标</t>
        </is>
      </c>
      <c r="C290" s="19" t="inlineStr">
        <is>
          <t>加</t>
        </is>
      </c>
      <c r="D290" s="20" t="n">
        <v>-5.52</v>
      </c>
      <c r="E290" s="18" t="inlineStr">
        <is>
          <t>万元</t>
        </is>
      </c>
      <c r="F290" s="21" t="n"/>
      <c r="G290" s="19" t="n"/>
      <c r="H290" s="22" t="inlineStr">
        <is>
          <t>越大越好</t>
        </is>
      </c>
      <c r="I290" s="22" t="n"/>
      <c r="J290" s="22" t="inlineStr">
        <is>
          <t>汇兑损益金额</t>
        </is>
      </c>
      <c r="K290" s="28" t="inlineStr">
        <is>
          <t>完全一致</t>
        </is>
      </c>
      <c r="L290" s="24" t="n"/>
      <c r="M290" s="25" t="n"/>
      <c r="N290" s="21" t="inlineStr">
        <is>
          <t>金融市场收入</t>
        </is>
      </c>
      <c r="O290" s="21" t="inlineStr">
        <is>
          <t>按收入类型</t>
        </is>
      </c>
      <c r="P290" s="21" t="inlineStr">
        <is>
          <t>归因分析表 东台农商行 2026年6月本期（万元）</t>
        </is>
      </c>
    </row>
    <row r="291" outlineLevel="5">
      <c r="A291" s="41" t="inlineStr">
        <is>
          <t>手续费及佣金收入</t>
        </is>
      </c>
      <c r="B291" s="18" t="inlineStr">
        <is>
          <t>指标</t>
        </is>
      </c>
      <c r="C291" s="19" t="inlineStr">
        <is>
          <t>加</t>
        </is>
      </c>
      <c r="D291" s="20" t="n">
        <v>849.5700000000001</v>
      </c>
      <c r="E291" s="18" t="inlineStr">
        <is>
          <t>万元</t>
        </is>
      </c>
      <c r="F291" s="21" t="n"/>
      <c r="G291" s="19" t="n"/>
      <c r="H291" s="22" t="inlineStr">
        <is>
          <t>越大越好</t>
        </is>
      </c>
      <c r="I291" s="22" t="n"/>
      <c r="J291" s="22" t="inlineStr">
        <is>
          <t>手续费及佣金收入金额</t>
        </is>
      </c>
      <c r="K291" s="28" t="inlineStr">
        <is>
          <t>完全一致</t>
        </is>
      </c>
      <c r="L291" s="24" t="n"/>
      <c r="M291" s="25" t="n"/>
      <c r="N291" s="21" t="inlineStr">
        <is>
          <t>营业收入</t>
        </is>
      </c>
      <c r="O291" s="21" t="inlineStr">
        <is>
          <t>按收入类型</t>
        </is>
      </c>
      <c r="P291" s="21" t="inlineStr">
        <is>
          <t>归因分析表 东台农商行 2026年6月本期（万元）</t>
        </is>
      </c>
    </row>
    <row r="292" outlineLevel="6">
      <c r="A292" s="42" t="inlineStr">
        <is>
          <t>〔按业务类型〕</t>
        </is>
      </c>
      <c r="B292" s="18" t="inlineStr">
        <is>
          <t>拆解方式</t>
        </is>
      </c>
      <c r="C292" s="18" t="n"/>
      <c r="D292" s="20" t="n"/>
      <c r="E292" s="18" t="n"/>
      <c r="F292" s="21">
        <f>IF((COUNTIFS($N$3:$N$337,N292,$O$3:$O$337,O292,$C$3:$C$337,"加")+COUNTIFS($N$3:$N$337,N292,$O$3:$O$337,O292,$C$3:$C$337,"减"))=0,"其中项，不参与加总",IF(ISNUMBER(D291)=FALSE,"上级无数值，无法校验",IF(SUMPRODUCT(($N$3:$N$337=N292)*($O$3:$O$337=O292)*(($C$3:$C$337="加")+($C$3:$C$337="减"))*(ISNUMBER($D$3:$D$337)=FALSE))&gt;0,"部分下级无数值，无法校验",IF(ABS(D291-(SUMIFS($D$3:$D$337,$N$3:$N$337,N292,$O$3:$O$337,O292,$C$3:$C$337,"加")-SUMIFS($D$3:$D$337,$N$3:$N$337,N292,$O$3:$O$337,O292,$C$3:$C$337,"减")))&lt;=MAX(0.05,ABS(D291)*0.0005),"✓ 合计与上级一致","✗ 合计与上级相差 "&amp;TEXT(D291-(SUMIFS($D$3:$D$337,$N$3:$N$337,N292,$O$3:$O$337,O292,$C$3:$C$337,"加")-SUMIFS($D$3:$D$337,$N$3:$N$337,N292,$O$3:$O$337,O292,$C$3:$C$337,"减")),"#,##0.00")))))</f>
        <v/>
      </c>
      <c r="G292" s="18" t="n"/>
      <c r="H292" s="21" t="n"/>
      <c r="I292" s="21" t="n"/>
      <c r="J292" s="21" t="n"/>
      <c r="K292" s="18" t="n"/>
      <c r="L292" s="18" t="n"/>
      <c r="M292" s="21" t="n"/>
      <c r="N292" s="21" t="inlineStr">
        <is>
          <t>手续费及佣金收入</t>
        </is>
      </c>
      <c r="O292" s="21" t="inlineStr">
        <is>
          <t>按业务类型</t>
        </is>
      </c>
      <c r="P292" s="21" t="n"/>
    </row>
    <row r="293" outlineLevel="6">
      <c r="A293" s="43" t="inlineStr">
        <is>
          <t>银行卡业务手续费收入</t>
        </is>
      </c>
      <c r="B293" s="18" t="inlineStr">
        <is>
          <t>指标</t>
        </is>
      </c>
      <c r="C293" s="19" t="inlineStr">
        <is>
          <t>加</t>
        </is>
      </c>
      <c r="D293" s="20" t="n">
        <v>90.31</v>
      </c>
      <c r="E293" s="18" t="inlineStr">
        <is>
          <t>万元</t>
        </is>
      </c>
      <c r="F293" s="21" t="n"/>
      <c r="G293" s="19" t="n"/>
      <c r="H293" s="22" t="inlineStr">
        <is>
          <t>越大越好</t>
        </is>
      </c>
      <c r="I293" s="22" t="n"/>
      <c r="J293" s="22" t="inlineStr">
        <is>
          <t>银行卡业务手续费收入金额</t>
        </is>
      </c>
      <c r="K293" s="28" t="inlineStr">
        <is>
          <t>完全一致</t>
        </is>
      </c>
      <c r="L293" s="24" t="n"/>
      <c r="M293" s="25" t="n"/>
      <c r="N293" s="21" t="inlineStr">
        <is>
          <t>手续费及佣金收入</t>
        </is>
      </c>
      <c r="O293" s="21" t="inlineStr">
        <is>
          <t>按业务类型</t>
        </is>
      </c>
      <c r="P293" s="21" t="inlineStr">
        <is>
          <t>归因分析表 东台农商行 2026年6月本期（万元）</t>
        </is>
      </c>
    </row>
    <row r="294" outlineLevel="6">
      <c r="A294" s="43" t="inlineStr">
        <is>
          <t>结算业务手续费收入</t>
        </is>
      </c>
      <c r="B294" s="18" t="inlineStr">
        <is>
          <t>指标</t>
        </is>
      </c>
      <c r="C294" s="19" t="inlineStr">
        <is>
          <t>加</t>
        </is>
      </c>
      <c r="D294" s="20" t="n">
        <v>444.08</v>
      </c>
      <c r="E294" s="18" t="inlineStr">
        <is>
          <t>万元</t>
        </is>
      </c>
      <c r="F294" s="21" t="n"/>
      <c r="G294" s="19" t="n"/>
      <c r="H294" s="22" t="inlineStr">
        <is>
          <t>越大越好</t>
        </is>
      </c>
      <c r="I294" s="22" t="n"/>
      <c r="J294" s="22" t="inlineStr">
        <is>
          <t>结算业务手续费收入金额</t>
        </is>
      </c>
      <c r="K294" s="28" t="inlineStr">
        <is>
          <t>完全一致</t>
        </is>
      </c>
      <c r="L294" s="24" t="n"/>
      <c r="M294" s="25" t="n"/>
      <c r="N294" s="21" t="inlineStr">
        <is>
          <t>手续费及佣金收入</t>
        </is>
      </c>
      <c r="O294" s="21" t="inlineStr">
        <is>
          <t>按业务类型</t>
        </is>
      </c>
      <c r="P294" s="21" t="inlineStr">
        <is>
          <t>归因分析表 东台农商行 2026年6月本期（万元）</t>
        </is>
      </c>
    </row>
    <row r="295" outlineLevel="6">
      <c r="A295" s="43" t="inlineStr">
        <is>
          <t>外汇业务手续费收入</t>
        </is>
      </c>
      <c r="B295" s="18" t="inlineStr">
        <is>
          <t>指标</t>
        </is>
      </c>
      <c r="C295" s="19" t="inlineStr">
        <is>
          <t>加</t>
        </is>
      </c>
      <c r="D295" s="20" t="n">
        <v>0.57</v>
      </c>
      <c r="E295" s="18" t="inlineStr">
        <is>
          <t>万元</t>
        </is>
      </c>
      <c r="F295" s="21" t="n"/>
      <c r="G295" s="19" t="n"/>
      <c r="H295" s="22" t="inlineStr">
        <is>
          <t>越大越好</t>
        </is>
      </c>
      <c r="I295" s="22" t="n"/>
      <c r="J295" s="22" t="inlineStr">
        <is>
          <t>外汇业务手续费收入金额</t>
        </is>
      </c>
      <c r="K295" s="28" t="inlineStr">
        <is>
          <t>完全一致</t>
        </is>
      </c>
      <c r="L295" s="24" t="n"/>
      <c r="M295" s="25" t="n"/>
      <c r="N295" s="21" t="inlineStr">
        <is>
          <t>手续费及佣金收入</t>
        </is>
      </c>
      <c r="O295" s="21" t="inlineStr">
        <is>
          <t>按业务类型</t>
        </is>
      </c>
      <c r="P295" s="21" t="inlineStr">
        <is>
          <t>归因分析表 东台农商行 2026年6月本期（万元）</t>
        </is>
      </c>
    </row>
    <row r="296" outlineLevel="6">
      <c r="A296" s="43" t="inlineStr">
        <is>
          <t>代理业务手续费收入</t>
        </is>
      </c>
      <c r="B296" s="18" t="inlineStr">
        <is>
          <t>指标</t>
        </is>
      </c>
      <c r="C296" s="19" t="inlineStr">
        <is>
          <t>加</t>
        </is>
      </c>
      <c r="D296" s="20" t="n">
        <v>251.84</v>
      </c>
      <c r="E296" s="18" t="inlineStr">
        <is>
          <t>万元</t>
        </is>
      </c>
      <c r="F296" s="21" t="n"/>
      <c r="G296" s="19" t="n"/>
      <c r="H296" s="22" t="inlineStr">
        <is>
          <t>越大越好</t>
        </is>
      </c>
      <c r="I296" s="22" t="n"/>
      <c r="J296" s="22" t="inlineStr">
        <is>
          <t>代理业务手续费收入金额</t>
        </is>
      </c>
      <c r="K296" s="28" t="inlineStr">
        <is>
          <t>完全一致</t>
        </is>
      </c>
      <c r="L296" s="24" t="n"/>
      <c r="M296" s="25" t="n"/>
      <c r="N296" s="21" t="inlineStr">
        <is>
          <t>手续费及佣金收入</t>
        </is>
      </c>
      <c r="O296" s="21" t="inlineStr">
        <is>
          <t>按业务类型</t>
        </is>
      </c>
      <c r="P296" s="21" t="inlineStr">
        <is>
          <t>归因分析表 东台农商行 2026年6月本期（万元）</t>
        </is>
      </c>
    </row>
    <row r="297" outlineLevel="6">
      <c r="A297" s="43" t="inlineStr">
        <is>
          <t>担保手续费收入</t>
        </is>
      </c>
      <c r="B297" s="18" t="inlineStr">
        <is>
          <t>指标</t>
        </is>
      </c>
      <c r="C297" s="19" t="inlineStr">
        <is>
          <t>加</t>
        </is>
      </c>
      <c r="D297" s="20" t="n">
        <v>0</v>
      </c>
      <c r="E297" s="18" t="inlineStr">
        <is>
          <t>万元</t>
        </is>
      </c>
      <c r="F297" s="21" t="n"/>
      <c r="G297" s="19" t="n"/>
      <c r="H297" s="22" t="inlineStr">
        <is>
          <t>越大越好</t>
        </is>
      </c>
      <c r="I297" s="22" t="n"/>
      <c r="J297" s="22" t="inlineStr">
        <is>
          <t>担保手续费收入金额</t>
        </is>
      </c>
      <c r="K297" s="28" t="inlineStr">
        <is>
          <t>完全一致</t>
        </is>
      </c>
      <c r="L297" s="24" t="n"/>
      <c r="M297" s="25" t="n"/>
      <c r="N297" s="21" t="inlineStr">
        <is>
          <t>手续费及佣金收入</t>
        </is>
      </c>
      <c r="O297" s="21" t="inlineStr">
        <is>
          <t>按业务类型</t>
        </is>
      </c>
      <c r="P297" s="21" t="inlineStr">
        <is>
          <t>归因分析表 东台农商行 2026年6月本期（万元）</t>
        </is>
      </c>
    </row>
    <row r="298" outlineLevel="6">
      <c r="A298" s="43" t="inlineStr">
        <is>
          <t>账户管理费收入</t>
        </is>
      </c>
      <c r="B298" s="18" t="inlineStr">
        <is>
          <t>指标</t>
        </is>
      </c>
      <c r="C298" s="19" t="inlineStr">
        <is>
          <t>加</t>
        </is>
      </c>
      <c r="D298" s="20" t="n">
        <v>4.15</v>
      </c>
      <c r="E298" s="18" t="inlineStr">
        <is>
          <t>万元</t>
        </is>
      </c>
      <c r="F298" s="21" t="n"/>
      <c r="G298" s="19" t="n"/>
      <c r="H298" s="22" t="inlineStr">
        <is>
          <t>越大越好</t>
        </is>
      </c>
      <c r="I298" s="22" t="n"/>
      <c r="J298" s="22" t="inlineStr">
        <is>
          <t>账户管理费收入金额</t>
        </is>
      </c>
      <c r="K298" s="28" t="inlineStr">
        <is>
          <t>完全一致</t>
        </is>
      </c>
      <c r="L298" s="24" t="n"/>
      <c r="M298" s="25" t="n"/>
      <c r="N298" s="21" t="inlineStr">
        <is>
          <t>手续费及佣金收入</t>
        </is>
      </c>
      <c r="O298" s="21" t="inlineStr">
        <is>
          <t>按业务类型</t>
        </is>
      </c>
      <c r="P298" s="21" t="inlineStr">
        <is>
          <t>归因分析表 东台农商行 2026年6月本期（万元）</t>
        </is>
      </c>
    </row>
    <row r="299" outlineLevel="6">
      <c r="A299" s="43" t="inlineStr">
        <is>
          <t>其他手续费收入</t>
        </is>
      </c>
      <c r="B299" s="18" t="inlineStr">
        <is>
          <t>指标</t>
        </is>
      </c>
      <c r="C299" s="19" t="inlineStr">
        <is>
          <t>加</t>
        </is>
      </c>
      <c r="D299" s="20" t="n">
        <v>58.62</v>
      </c>
      <c r="E299" s="18" t="inlineStr">
        <is>
          <t>万元</t>
        </is>
      </c>
      <c r="F299" s="21" t="n"/>
      <c r="G299" s="19" t="n"/>
      <c r="H299" s="22" t="inlineStr">
        <is>
          <t>越大越好</t>
        </is>
      </c>
      <c r="I299" s="22" t="n"/>
      <c r="J299" s="22" t="n"/>
      <c r="K299" s="23" t="inlineStr">
        <is>
          <t>目录中未找到</t>
        </is>
      </c>
      <c r="L299" s="24" t="n"/>
      <c r="M299" s="25" t="n"/>
      <c r="N299" s="21" t="inlineStr">
        <is>
          <t>手续费及佣金收入</t>
        </is>
      </c>
      <c r="O299" s="21" t="inlineStr">
        <is>
          <t>按业务类型</t>
        </is>
      </c>
      <c r="P299" s="21" t="inlineStr">
        <is>
          <t>归因分析表 东台农商行 2026年6月本期（万元）</t>
        </is>
      </c>
    </row>
    <row r="300" outlineLevel="5">
      <c r="A300" s="41" t="inlineStr">
        <is>
          <t>其他营业收入</t>
        </is>
      </c>
      <c r="B300" s="18" t="inlineStr">
        <is>
          <t>指标</t>
        </is>
      </c>
      <c r="C300" s="19" t="inlineStr">
        <is>
          <t>加</t>
        </is>
      </c>
      <c r="D300" s="20" t="n">
        <v>79.16</v>
      </c>
      <c r="E300" s="18" t="inlineStr">
        <is>
          <t>万元</t>
        </is>
      </c>
      <c r="F300" s="21" t="n"/>
      <c r="G300" s="19" t="n"/>
      <c r="H300" s="22" t="inlineStr">
        <is>
          <t>越大越好</t>
        </is>
      </c>
      <c r="I300" s="22" t="n"/>
      <c r="J300" s="22" t="n"/>
      <c r="K300" s="23" t="inlineStr">
        <is>
          <t>目录中未找到</t>
        </is>
      </c>
      <c r="L300" s="24" t="n"/>
      <c r="M300" s="25" t="n"/>
      <c r="N300" s="21" t="inlineStr">
        <is>
          <t>营业收入</t>
        </is>
      </c>
      <c r="O300" s="21" t="inlineStr">
        <is>
          <t>按收入类型</t>
        </is>
      </c>
      <c r="P300" s="21" t="inlineStr">
        <is>
          <t>归因分析表 东台农商行 2026年6月本期（万元）</t>
        </is>
      </c>
    </row>
    <row r="301" outlineLevel="6">
      <c r="A301" s="42" t="inlineStr">
        <is>
          <t>〔按收入类型〕</t>
        </is>
      </c>
      <c r="B301" s="18" t="inlineStr">
        <is>
          <t>拆解方式</t>
        </is>
      </c>
      <c r="C301" s="18" t="n"/>
      <c r="D301" s="20" t="n"/>
      <c r="E301" s="18" t="n"/>
      <c r="F301" s="21">
        <f>IF((COUNTIFS($N$3:$N$337,N301,$O$3:$O$337,O301,$C$3:$C$337,"加")+COUNTIFS($N$3:$N$337,N301,$O$3:$O$337,O301,$C$3:$C$337,"减"))=0,"其中项，不参与加总",IF(ISNUMBER(D300)=FALSE,"上级无数值，无法校验",IF(SUMPRODUCT(($N$3:$N$337=N301)*($O$3:$O$337=O301)*(($C$3:$C$337="加")+($C$3:$C$337="减"))*(ISNUMBER($D$3:$D$337)=FALSE))&gt;0,"部分下级无数值，无法校验",IF(ABS(D300-(SUMIFS($D$3:$D$337,$N$3:$N$337,N301,$O$3:$O$337,O301,$C$3:$C$337,"加")-SUMIFS($D$3:$D$337,$N$3:$N$337,N301,$O$3:$O$337,O301,$C$3:$C$337,"减")))&lt;=MAX(0.05,ABS(D300)*0.0005),"✓ 合计与上级一致","✗ 合计与上级相差 "&amp;TEXT(D300-(SUMIFS($D$3:$D$337,$N$3:$N$337,N301,$O$3:$O$337,O301,$C$3:$C$337,"加")-SUMIFS($D$3:$D$337,$N$3:$N$337,N301,$O$3:$O$337,O301,$C$3:$C$337,"减")),"#,##0.00")))))</f>
        <v/>
      </c>
      <c r="G301" s="18" t="n"/>
      <c r="H301" s="21" t="n"/>
      <c r="I301" s="21" t="n"/>
      <c r="J301" s="21" t="n"/>
      <c r="K301" s="18" t="n"/>
      <c r="L301" s="18" t="n"/>
      <c r="M301" s="21" t="n"/>
      <c r="N301" s="21" t="inlineStr">
        <is>
          <t>其他营业收入</t>
        </is>
      </c>
      <c r="O301" s="21" t="inlineStr">
        <is>
          <t>按收入类型</t>
        </is>
      </c>
      <c r="P301" s="21" t="n"/>
    </row>
    <row r="302" outlineLevel="6">
      <c r="A302" s="43" t="inlineStr">
        <is>
          <t>其他业务收入</t>
        </is>
      </c>
      <c r="B302" s="18" t="inlineStr">
        <is>
          <t>指标</t>
        </is>
      </c>
      <c r="C302" s="19" t="inlineStr">
        <is>
          <t>加</t>
        </is>
      </c>
      <c r="D302" s="20" t="n">
        <v>79.16</v>
      </c>
      <c r="E302" s="18" t="inlineStr">
        <is>
          <t>万元</t>
        </is>
      </c>
      <c r="F302" s="21" t="n"/>
      <c r="G302" s="19" t="n"/>
      <c r="H302" s="22" t="inlineStr">
        <is>
          <t>越大越好</t>
        </is>
      </c>
      <c r="I302" s="22" t="n"/>
      <c r="J302" s="22" t="n"/>
      <c r="K302" s="23" t="inlineStr">
        <is>
          <t>目录中未找到</t>
        </is>
      </c>
      <c r="L302" s="24" t="n"/>
      <c r="M302" s="25" t="n"/>
      <c r="N302" s="21" t="inlineStr">
        <is>
          <t>其他营业收入</t>
        </is>
      </c>
      <c r="O302" s="21" t="inlineStr">
        <is>
          <t>按收入类型</t>
        </is>
      </c>
      <c r="P302" s="21" t="inlineStr">
        <is>
          <t>归因分析表 东台农商行 2026年6月本期（万元）</t>
        </is>
      </c>
    </row>
    <row r="303" outlineLevel="6">
      <c r="A303" s="43" t="inlineStr">
        <is>
          <t>资产处置收益</t>
        </is>
      </c>
      <c r="B303" s="18" t="inlineStr">
        <is>
          <t>指标</t>
        </is>
      </c>
      <c r="C303" s="19" t="inlineStr">
        <is>
          <t>加</t>
        </is>
      </c>
      <c r="D303" s="20" t="n">
        <v>0</v>
      </c>
      <c r="E303" s="18" t="inlineStr">
        <is>
          <t>万元</t>
        </is>
      </c>
      <c r="F303" s="21" t="n"/>
      <c r="G303" s="19" t="n"/>
      <c r="H303" s="22" t="inlineStr">
        <is>
          <t>越大越好</t>
        </is>
      </c>
      <c r="I303" s="22" t="n"/>
      <c r="J303" s="22" t="inlineStr">
        <is>
          <t>资产处置收益金额</t>
        </is>
      </c>
      <c r="K303" s="28" t="inlineStr">
        <is>
          <t>完全一致</t>
        </is>
      </c>
      <c r="L303" s="24" t="n"/>
      <c r="M303" s="25" t="n"/>
      <c r="N303" s="21" t="inlineStr">
        <is>
          <t>其他营业收入</t>
        </is>
      </c>
      <c r="O303" s="21" t="inlineStr">
        <is>
          <t>按收入类型</t>
        </is>
      </c>
      <c r="P303" s="21" t="inlineStr">
        <is>
          <t>归因分析表 东台农商行 2026年6月本期（万元）</t>
        </is>
      </c>
    </row>
    <row r="304" outlineLevel="6">
      <c r="A304" s="43" t="inlineStr">
        <is>
          <t>其他收益</t>
        </is>
      </c>
      <c r="B304" s="18" t="inlineStr">
        <is>
          <t>指标</t>
        </is>
      </c>
      <c r="C304" s="19" t="inlineStr">
        <is>
          <t>加</t>
        </is>
      </c>
      <c r="D304" s="20" t="n">
        <v>0</v>
      </c>
      <c r="E304" s="18" t="inlineStr">
        <is>
          <t>万元</t>
        </is>
      </c>
      <c r="F304" s="21" t="n"/>
      <c r="G304" s="19" t="n"/>
      <c r="H304" s="22" t="inlineStr">
        <is>
          <t>越大越好</t>
        </is>
      </c>
      <c r="I304" s="22" t="n"/>
      <c r="J304" s="22" t="n"/>
      <c r="K304" s="23" t="inlineStr">
        <is>
          <t>目录中未找到</t>
        </is>
      </c>
      <c r="L304" s="24" t="n"/>
      <c r="M304" s="25" t="n"/>
      <c r="N304" s="21" t="inlineStr">
        <is>
          <t>其他营业收入</t>
        </is>
      </c>
      <c r="O304" s="21" t="inlineStr">
        <is>
          <t>按收入类型</t>
        </is>
      </c>
      <c r="P304" s="21" t="inlineStr">
        <is>
          <t>归因分析表 东台农商行 2026年6月本期（万元）</t>
        </is>
      </c>
    </row>
    <row r="305" outlineLevel="4">
      <c r="A305" s="37" t="inlineStr">
        <is>
          <t>营业支出</t>
        </is>
      </c>
      <c r="B305" s="18" t="inlineStr">
        <is>
          <t>指标</t>
        </is>
      </c>
      <c r="C305" s="19" t="inlineStr">
        <is>
          <t>减</t>
        </is>
      </c>
      <c r="D305" s="20" t="n">
        <v>71394.42999999999</v>
      </c>
      <c r="E305" s="18" t="inlineStr">
        <is>
          <t>万元</t>
        </is>
      </c>
      <c r="F305" s="21" t="n"/>
      <c r="G305" s="19" t="n"/>
      <c r="H305" s="22" t="inlineStr">
        <is>
          <t>越小越好</t>
        </is>
      </c>
      <c r="I305" s="22" t="n"/>
      <c r="J305" s="22" t="inlineStr">
        <is>
          <t>营业支出金额</t>
        </is>
      </c>
      <c r="K305" s="28" t="inlineStr">
        <is>
          <t>完全一致</t>
        </is>
      </c>
      <c r="L305" s="24" t="n"/>
      <c r="M305" s="25" t="n"/>
      <c r="N305" s="21" t="inlineStr">
        <is>
          <t>营业利润</t>
        </is>
      </c>
      <c r="O305" s="21" t="inlineStr">
        <is>
          <t>利润构成</t>
        </is>
      </c>
      <c r="P305" s="21" t="inlineStr">
        <is>
          <t>归因分析表 东台农商行 2026年6月本期（万元）</t>
        </is>
      </c>
    </row>
    <row r="306" outlineLevel="5">
      <c r="A306" s="40" t="inlineStr">
        <is>
          <t>〔按支出类型〕</t>
        </is>
      </c>
      <c r="B306" s="18" t="inlineStr">
        <is>
          <t>拆解方式</t>
        </is>
      </c>
      <c r="C306" s="18" t="n"/>
      <c r="D306" s="20" t="n"/>
      <c r="E306" s="18" t="n"/>
      <c r="F306" s="21">
        <f>IF((COUNTIFS($N$3:$N$337,N306,$O$3:$O$337,O306,$C$3:$C$337,"加")+COUNTIFS($N$3:$N$337,N306,$O$3:$O$337,O306,$C$3:$C$337,"减"))=0,"其中项，不参与加总",IF(ISNUMBER(D305)=FALSE,"上级无数值，无法校验",IF(SUMPRODUCT(($N$3:$N$337=N306)*($O$3:$O$337=O306)*(($C$3:$C$337="加")+($C$3:$C$337="减"))*(ISNUMBER($D$3:$D$337)=FALSE))&gt;0,"部分下级无数值，无法校验",IF(ABS(D305-(SUMIFS($D$3:$D$337,$N$3:$N$337,N306,$O$3:$O$337,O306,$C$3:$C$337,"加")-SUMIFS($D$3:$D$337,$N$3:$N$337,N306,$O$3:$O$337,O306,$C$3:$C$337,"减")))&lt;=MAX(0.05,ABS(D305)*0.0005),"✓ 合计与上级一致","✗ 合计与上级相差 "&amp;TEXT(D305-(SUMIFS($D$3:$D$337,$N$3:$N$337,N306,$O$3:$O$337,O306,$C$3:$C$337,"加")-SUMIFS($D$3:$D$337,$N$3:$N$337,N306,$O$3:$O$337,O306,$C$3:$C$337,"减")),"#,##0.00")))))</f>
        <v/>
      </c>
      <c r="G306" s="18" t="n"/>
      <c r="H306" s="21" t="n"/>
      <c r="I306" s="21" t="n"/>
      <c r="J306" s="21" t="n"/>
      <c r="K306" s="18" t="n"/>
      <c r="L306" s="18" t="n"/>
      <c r="M306" s="21" t="inlineStr">
        <is>
          <t>源表中本组上级数值为 71,054.40，与上级行显示的 71,394.43 不一致，请业务确认口径</t>
        </is>
      </c>
      <c r="N306" s="21" t="inlineStr">
        <is>
          <t>营业支出</t>
        </is>
      </c>
      <c r="O306" s="21" t="inlineStr">
        <is>
          <t>按支出类型</t>
        </is>
      </c>
      <c r="P306" s="21" t="n"/>
    </row>
    <row r="307" outlineLevel="5">
      <c r="A307" s="41" t="inlineStr">
        <is>
          <t>利息支出</t>
        </is>
      </c>
      <c r="B307" s="18" t="inlineStr">
        <is>
          <t>指标</t>
        </is>
      </c>
      <c r="C307" s="19" t="inlineStr">
        <is>
          <t>加</t>
        </is>
      </c>
      <c r="D307" s="20" t="n">
        <v>35219.75</v>
      </c>
      <c r="E307" s="18" t="inlineStr">
        <is>
          <t>万元</t>
        </is>
      </c>
      <c r="F307" s="21" t="n"/>
      <c r="G307" s="19" t="n"/>
      <c r="H307" s="22" t="inlineStr">
        <is>
          <t>越小越好</t>
        </is>
      </c>
      <c r="I307" s="22" t="n"/>
      <c r="J307" s="22" t="inlineStr">
        <is>
          <t>利息支出金额</t>
        </is>
      </c>
      <c r="K307" s="28" t="inlineStr">
        <is>
          <t>完全一致</t>
        </is>
      </c>
      <c r="L307" s="24" t="n"/>
      <c r="M307" s="25" t="n"/>
      <c r="N307" s="21" t="inlineStr">
        <is>
          <t>营业支出</t>
        </is>
      </c>
      <c r="O307" s="21" t="inlineStr">
        <is>
          <t>按支出类型</t>
        </is>
      </c>
      <c r="P307" s="21" t="inlineStr">
        <is>
          <t>归因分析表 东台农商行 2026年6月本期（万元）</t>
        </is>
      </c>
    </row>
    <row r="308" outlineLevel="6">
      <c r="A308" s="42" t="inlineStr">
        <is>
          <t>〔按存款类型〕</t>
        </is>
      </c>
      <c r="B308" s="18" t="inlineStr">
        <is>
          <t>拆解方式</t>
        </is>
      </c>
      <c r="C308" s="18" t="n"/>
      <c r="D308" s="20" t="n"/>
      <c r="E308" s="18" t="n"/>
      <c r="F308" s="21">
        <f>IF((COUNTIFS($N$3:$N$337,N308,$O$3:$O$337,O308,$C$3:$C$337,"加")+COUNTIFS($N$3:$N$337,N308,$O$3:$O$337,O308,$C$3:$C$337,"减"))=0,"其中项，不参与加总",IF(ISNUMBER(D307)=FALSE,"上级无数值，无法校验",IF(SUMPRODUCT(($N$3:$N$337=N308)*($O$3:$O$337=O308)*(($C$3:$C$337="加")+($C$3:$C$337="减"))*(ISNUMBER($D$3:$D$337)=FALSE))&gt;0,"部分下级无数值，无法校验",IF(ABS(D307-(SUMIFS($D$3:$D$337,$N$3:$N$337,N308,$O$3:$O$337,O308,$C$3:$C$337,"加")-SUMIFS($D$3:$D$337,$N$3:$N$337,N308,$O$3:$O$337,O308,$C$3:$C$337,"减")))&lt;=MAX(0.05,ABS(D307)*0.0005),"✓ 合计与上级一致","✗ 合计与上级相差 "&amp;TEXT(D307-(SUMIFS($D$3:$D$337,$N$3:$N$337,N308,$O$3:$O$337,O308,$C$3:$C$337,"加")-SUMIFS($D$3:$D$337,$N$3:$N$337,N308,$O$3:$O$337,O308,$C$3:$C$337,"减")),"#,##0.00")))))</f>
        <v/>
      </c>
      <c r="G308" s="18" t="n"/>
      <c r="H308" s="21" t="n"/>
      <c r="I308" s="21" t="n"/>
      <c r="J308" s="21" t="n"/>
      <c r="K308" s="18" t="n"/>
      <c r="L308" s="18" t="n"/>
      <c r="M308" s="21" t="n"/>
      <c r="N308" s="21" t="inlineStr">
        <is>
          <t>利息支出</t>
        </is>
      </c>
      <c r="O308" s="21" t="inlineStr">
        <is>
          <t>按存款类型</t>
        </is>
      </c>
      <c r="P308" s="21" t="n"/>
    </row>
    <row r="309" outlineLevel="6">
      <c r="A309" s="43" t="inlineStr">
        <is>
          <t>单位活期存款利息支出</t>
        </is>
      </c>
      <c r="B309" s="18" t="inlineStr">
        <is>
          <t>指标</t>
        </is>
      </c>
      <c r="C309" s="19" t="inlineStr">
        <is>
          <t>加</t>
        </is>
      </c>
      <c r="D309" s="20" t="n">
        <v>540.48</v>
      </c>
      <c r="E309" s="18" t="inlineStr">
        <is>
          <t>万元</t>
        </is>
      </c>
      <c r="F309" s="21" t="n"/>
      <c r="G309" s="19" t="n"/>
      <c r="H309" s="22" t="inlineStr">
        <is>
          <t>越小越好</t>
        </is>
      </c>
      <c r="I309" s="22" t="n"/>
      <c r="J309" s="22" t="inlineStr">
        <is>
          <t>单位活期存款利息支出金额</t>
        </is>
      </c>
      <c r="K309" s="28" t="inlineStr">
        <is>
          <t>完全一致</t>
        </is>
      </c>
      <c r="L309" s="24" t="n"/>
      <c r="M309" s="25" t="n"/>
      <c r="N309" s="21" t="inlineStr">
        <is>
          <t>利息支出</t>
        </is>
      </c>
      <c r="O309" s="21" t="inlineStr">
        <is>
          <t>按存款类型</t>
        </is>
      </c>
      <c r="P309" s="21" t="inlineStr">
        <is>
          <t>归因分析表 东台农商行 2026年6月本期（万元）</t>
        </is>
      </c>
    </row>
    <row r="310" outlineLevel="6">
      <c r="A310" s="43" t="inlineStr">
        <is>
          <t>单位定期存款利息支出</t>
        </is>
      </c>
      <c r="B310" s="18" t="inlineStr">
        <is>
          <t>指标</t>
        </is>
      </c>
      <c r="C310" s="19" t="inlineStr">
        <is>
          <t>加</t>
        </is>
      </c>
      <c r="D310" s="20" t="n">
        <v>1265.18</v>
      </c>
      <c r="E310" s="18" t="inlineStr">
        <is>
          <t>万元</t>
        </is>
      </c>
      <c r="F310" s="21" t="n"/>
      <c r="G310" s="19" t="n"/>
      <c r="H310" s="22" t="inlineStr">
        <is>
          <t>越小越好</t>
        </is>
      </c>
      <c r="I310" s="22" t="n"/>
      <c r="J310" s="22" t="inlineStr">
        <is>
          <t>单位定期存款利息支出金额</t>
        </is>
      </c>
      <c r="K310" s="28" t="inlineStr">
        <is>
          <t>完全一致</t>
        </is>
      </c>
      <c r="L310" s="24" t="n"/>
      <c r="M310" s="25" t="n"/>
      <c r="N310" s="21" t="inlineStr">
        <is>
          <t>利息支出</t>
        </is>
      </c>
      <c r="O310" s="21" t="inlineStr">
        <is>
          <t>按存款类型</t>
        </is>
      </c>
      <c r="P310" s="21" t="inlineStr">
        <is>
          <t>归因分析表 东台农商行 2026年6月本期（万元）</t>
        </is>
      </c>
    </row>
    <row r="311" outlineLevel="6">
      <c r="A311" s="43" t="inlineStr">
        <is>
          <t>个人活期存款利息支出</t>
        </is>
      </c>
      <c r="B311" s="18" t="inlineStr">
        <is>
          <t>指标</t>
        </is>
      </c>
      <c r="C311" s="19" t="inlineStr">
        <is>
          <t>加</t>
        </is>
      </c>
      <c r="D311" s="20" t="n">
        <v>11.5</v>
      </c>
      <c r="E311" s="18" t="inlineStr">
        <is>
          <t>万元</t>
        </is>
      </c>
      <c r="F311" s="21" t="n"/>
      <c r="G311" s="19" t="n"/>
      <c r="H311" s="22" t="inlineStr">
        <is>
          <t>越小越好</t>
        </is>
      </c>
      <c r="I311" s="22" t="n"/>
      <c r="J311" s="22" t="inlineStr">
        <is>
          <t>个人活期存款利息支出金额</t>
        </is>
      </c>
      <c r="K311" s="28" t="inlineStr">
        <is>
          <t>完全一致</t>
        </is>
      </c>
      <c r="L311" s="24" t="n"/>
      <c r="M311" s="25" t="n"/>
      <c r="N311" s="21" t="inlineStr">
        <is>
          <t>利息支出</t>
        </is>
      </c>
      <c r="O311" s="21" t="inlineStr">
        <is>
          <t>按存款类型</t>
        </is>
      </c>
      <c r="P311" s="21" t="inlineStr">
        <is>
          <t>归因分析表 东台农商行 2026年6月本期（万元）</t>
        </is>
      </c>
    </row>
    <row r="312" outlineLevel="6">
      <c r="A312" s="43" t="inlineStr">
        <is>
          <t>个人定期存款利息支出</t>
        </is>
      </c>
      <c r="B312" s="18" t="inlineStr">
        <is>
          <t>指标</t>
        </is>
      </c>
      <c r="C312" s="19" t="inlineStr">
        <is>
          <t>加</t>
        </is>
      </c>
      <c r="D312" s="20" t="n">
        <v>31852.42</v>
      </c>
      <c r="E312" s="18" t="inlineStr">
        <is>
          <t>万元</t>
        </is>
      </c>
      <c r="F312" s="21" t="n"/>
      <c r="G312" s="19" t="n"/>
      <c r="H312" s="22" t="inlineStr">
        <is>
          <t>越小越好</t>
        </is>
      </c>
      <c r="I312" s="22" t="n"/>
      <c r="J312" s="22" t="inlineStr">
        <is>
          <t>个人定期存款利息支出金额</t>
        </is>
      </c>
      <c r="K312" s="28" t="inlineStr">
        <is>
          <t>完全一致</t>
        </is>
      </c>
      <c r="L312" s="24" t="n"/>
      <c r="M312" s="25" t="n"/>
      <c r="N312" s="21" t="inlineStr">
        <is>
          <t>利息支出</t>
        </is>
      </c>
      <c r="O312" s="21" t="inlineStr">
        <is>
          <t>按存款类型</t>
        </is>
      </c>
      <c r="P312" s="21" t="inlineStr">
        <is>
          <t>归因分析表 东台农商行 2026年6月本期（万元）</t>
        </is>
      </c>
    </row>
    <row r="313" outlineLevel="6">
      <c r="A313" s="43" t="inlineStr">
        <is>
          <t>财政性存款利息支出</t>
        </is>
      </c>
      <c r="B313" s="18" t="inlineStr">
        <is>
          <t>指标</t>
        </is>
      </c>
      <c r="C313" s="19" t="inlineStr">
        <is>
          <t>加</t>
        </is>
      </c>
      <c r="D313" s="20" t="n">
        <v>2.29</v>
      </c>
      <c r="E313" s="18" t="inlineStr">
        <is>
          <t>万元</t>
        </is>
      </c>
      <c r="F313" s="21" t="n"/>
      <c r="G313" s="19" t="n"/>
      <c r="H313" s="22" t="inlineStr">
        <is>
          <t>越小越好</t>
        </is>
      </c>
      <c r="I313" s="22" t="n"/>
      <c r="J313" s="22" t="inlineStr">
        <is>
          <t>财政性存款利息支出金额</t>
        </is>
      </c>
      <c r="K313" s="28" t="inlineStr">
        <is>
          <t>完全一致</t>
        </is>
      </c>
      <c r="L313" s="24" t="n"/>
      <c r="M313" s="25" t="n"/>
      <c r="N313" s="21" t="inlineStr">
        <is>
          <t>利息支出</t>
        </is>
      </c>
      <c r="O313" s="21" t="inlineStr">
        <is>
          <t>按存款类型</t>
        </is>
      </c>
      <c r="P313" s="21" t="inlineStr">
        <is>
          <t>归因分析表 东台农商行 2026年6月本期（万元）</t>
        </is>
      </c>
    </row>
    <row r="314" outlineLevel="6">
      <c r="A314" s="43" t="inlineStr">
        <is>
          <t>保证金存款利息支出</t>
        </is>
      </c>
      <c r="B314" s="18" t="inlineStr">
        <is>
          <t>指标</t>
        </is>
      </c>
      <c r="C314" s="19" t="inlineStr">
        <is>
          <t>加</t>
        </is>
      </c>
      <c r="D314" s="20" t="n">
        <v>471.1</v>
      </c>
      <c r="E314" s="18" t="inlineStr">
        <is>
          <t>万元</t>
        </is>
      </c>
      <c r="F314" s="21" t="n"/>
      <c r="G314" s="19" t="n"/>
      <c r="H314" s="22" t="inlineStr">
        <is>
          <t>越小越好</t>
        </is>
      </c>
      <c r="I314" s="22" t="n"/>
      <c r="J314" s="22" t="inlineStr">
        <is>
          <t>保证金存款利息支出金额</t>
        </is>
      </c>
      <c r="K314" s="28" t="inlineStr">
        <is>
          <t>完全一致</t>
        </is>
      </c>
      <c r="L314" s="24" t="n"/>
      <c r="M314" s="25" t="n"/>
      <c r="N314" s="21" t="inlineStr">
        <is>
          <t>利息支出</t>
        </is>
      </c>
      <c r="O314" s="21" t="inlineStr">
        <is>
          <t>按存款类型</t>
        </is>
      </c>
      <c r="P314" s="21" t="inlineStr">
        <is>
          <t>归因分析表 东台农商行 2026年6月本期（万元）</t>
        </is>
      </c>
    </row>
    <row r="315" outlineLevel="6">
      <c r="A315" s="43" t="inlineStr">
        <is>
          <t>其他利息支出</t>
        </is>
      </c>
      <c r="B315" s="18" t="inlineStr">
        <is>
          <t>指标</t>
        </is>
      </c>
      <c r="C315" s="19" t="inlineStr">
        <is>
          <t>加</t>
        </is>
      </c>
      <c r="D315" s="20" t="n">
        <v>1076.78</v>
      </c>
      <c r="E315" s="18" t="inlineStr">
        <is>
          <t>万元</t>
        </is>
      </c>
      <c r="F315" s="21" t="n"/>
      <c r="G315" s="19" t="n"/>
      <c r="H315" s="22" t="inlineStr">
        <is>
          <t>越小越好</t>
        </is>
      </c>
      <c r="I315" s="22" t="n"/>
      <c r="J315" s="22" t="n"/>
      <c r="K315" s="23" t="inlineStr">
        <is>
          <t>目录中未找到</t>
        </is>
      </c>
      <c r="L315" s="24" t="n"/>
      <c r="M315" s="25" t="n"/>
      <c r="N315" s="21" t="inlineStr">
        <is>
          <t>利息支出</t>
        </is>
      </c>
      <c r="O315" s="21" t="inlineStr">
        <is>
          <t>按存款类型</t>
        </is>
      </c>
      <c r="P315" s="21" t="inlineStr">
        <is>
          <t>归因分析表 东台农商行 2026年6月本期（万元）</t>
        </is>
      </c>
    </row>
    <row r="316" outlineLevel="5">
      <c r="A316" s="41" t="inlineStr">
        <is>
          <t>金融机构往来支出</t>
        </is>
      </c>
      <c r="B316" s="18" t="inlineStr">
        <is>
          <t>指标</t>
        </is>
      </c>
      <c r="C316" s="19" t="inlineStr">
        <is>
          <t>加</t>
        </is>
      </c>
      <c r="D316" s="20" t="n">
        <v>2297.12</v>
      </c>
      <c r="E316" s="18" t="inlineStr">
        <is>
          <t>万元</t>
        </is>
      </c>
      <c r="F316" s="21" t="n"/>
      <c r="G316" s="19" t="n"/>
      <c r="H316" s="22" t="inlineStr">
        <is>
          <t>越小越好</t>
        </is>
      </c>
      <c r="I316" s="22" t="n"/>
      <c r="J316" s="22" t="inlineStr">
        <is>
          <t>金融机构往来支出金额</t>
        </is>
      </c>
      <c r="K316" s="28" t="inlineStr">
        <is>
          <t>完全一致</t>
        </is>
      </c>
      <c r="L316" s="24" t="n"/>
      <c r="M316" s="25" t="n"/>
      <c r="N316" s="21" t="inlineStr">
        <is>
          <t>营业支出</t>
        </is>
      </c>
      <c r="O316" s="21" t="inlineStr">
        <is>
          <t>按支出类型</t>
        </is>
      </c>
      <c r="P316" s="21" t="inlineStr">
        <is>
          <t>归因分析表 东台农商行 2026年6月本期（万元）</t>
        </is>
      </c>
    </row>
    <row r="317" outlineLevel="5">
      <c r="A317" s="44" t="inlineStr">
        <is>
          <t>↪ 拨备减值计提</t>
        </is>
      </c>
      <c r="B317" s="18" t="inlineStr">
        <is>
          <t>引用</t>
        </is>
      </c>
      <c r="C317" s="19" t="inlineStr">
        <is>
          <t>加</t>
        </is>
      </c>
      <c r="D317" s="20" t="n">
        <v>17570.47</v>
      </c>
      <c r="E317" s="18" t="inlineStr">
        <is>
          <t>万元</t>
        </is>
      </c>
      <c r="F317" s="21" t="n"/>
      <c r="G317" s="19" t="n"/>
      <c r="H317" s="22" t="n"/>
      <c r="I317" s="22" t="n"/>
      <c r="J317" s="22" t="n"/>
      <c r="K317" s="18" t="n"/>
      <c r="L317" s="24" t="n"/>
      <c r="M317" s="25" t="inlineStr">
        <is>
          <t>展开见：拨备前利润 › 拨备减值计提</t>
        </is>
      </c>
      <c r="N317" s="21" t="inlineStr">
        <is>
          <t>营业支出</t>
        </is>
      </c>
      <c r="O317" s="21" t="inlineStr">
        <is>
          <t>按支出类型</t>
        </is>
      </c>
      <c r="P317" s="21" t="inlineStr">
        <is>
          <t>归因分析表 东台农商行 2026年6月本期（万元）</t>
        </is>
      </c>
    </row>
    <row r="318" outlineLevel="5">
      <c r="A318" s="41" t="inlineStr">
        <is>
          <t>手续费及佣金支出</t>
        </is>
      </c>
      <c r="B318" s="18" t="inlineStr">
        <is>
          <t>指标</t>
        </is>
      </c>
      <c r="C318" s="19" t="inlineStr">
        <is>
          <t>加</t>
        </is>
      </c>
      <c r="D318" s="20" t="n">
        <v>1441.07</v>
      </c>
      <c r="E318" s="18" t="inlineStr">
        <is>
          <t>万元</t>
        </is>
      </c>
      <c r="F318" s="21" t="n"/>
      <c r="G318" s="19" t="n"/>
      <c r="H318" s="22" t="inlineStr">
        <is>
          <t>越小越好</t>
        </is>
      </c>
      <c r="I318" s="22" t="n"/>
      <c r="J318" s="22" t="inlineStr">
        <is>
          <t>手续费及佣金支出金额</t>
        </is>
      </c>
      <c r="K318" s="28" t="inlineStr">
        <is>
          <t>完全一致</t>
        </is>
      </c>
      <c r="L318" s="24" t="n"/>
      <c r="M318" s="25" t="n"/>
      <c r="N318" s="21" t="inlineStr">
        <is>
          <t>营业支出</t>
        </is>
      </c>
      <c r="O318" s="21" t="inlineStr">
        <is>
          <t>按支出类型</t>
        </is>
      </c>
      <c r="P318" s="21" t="inlineStr">
        <is>
          <t>归因分析表 东台农商行 2026年6月本期（万元）</t>
        </is>
      </c>
    </row>
    <row r="319" outlineLevel="6">
      <c r="A319" s="42" t="inlineStr">
        <is>
          <t>〔按业务类型〕</t>
        </is>
      </c>
      <c r="B319" s="18" t="inlineStr">
        <is>
          <t>拆解方式</t>
        </is>
      </c>
      <c r="C319" s="18" t="n"/>
      <c r="D319" s="20" t="n"/>
      <c r="E319" s="18" t="n"/>
      <c r="F319" s="21">
        <f>IF((COUNTIFS($N$3:$N$337,N319,$O$3:$O$337,O319,$C$3:$C$337,"加")+COUNTIFS($N$3:$N$337,N319,$O$3:$O$337,O319,$C$3:$C$337,"减"))=0,"其中项，不参与加总",IF(ISNUMBER(D318)=FALSE,"上级无数值，无法校验",IF(SUMPRODUCT(($N$3:$N$337=N319)*($O$3:$O$337=O319)*(($C$3:$C$337="加")+($C$3:$C$337="减"))*(ISNUMBER($D$3:$D$337)=FALSE))&gt;0,"部分下级无数值，无法校验",IF(ABS(D318-(SUMIFS($D$3:$D$337,$N$3:$N$337,N319,$O$3:$O$337,O319,$C$3:$C$337,"加")-SUMIFS($D$3:$D$337,$N$3:$N$337,N319,$O$3:$O$337,O319,$C$3:$C$337,"减")))&lt;=MAX(0.05,ABS(D318)*0.0005),"✓ 合计与上级一致","✗ 合计与上级相差 "&amp;TEXT(D318-(SUMIFS($D$3:$D$337,$N$3:$N$337,N319,$O$3:$O$337,O319,$C$3:$C$337,"加")-SUMIFS($D$3:$D$337,$N$3:$N$337,N319,$O$3:$O$337,O319,$C$3:$C$337,"减")),"#,##0.00")))))</f>
        <v/>
      </c>
      <c r="G319" s="18" t="n"/>
      <c r="H319" s="21" t="n"/>
      <c r="I319" s="21" t="n"/>
      <c r="J319" s="21" t="n"/>
      <c r="K319" s="18" t="n"/>
      <c r="L319" s="18" t="n"/>
      <c r="M319" s="21" t="n"/>
      <c r="N319" s="21" t="inlineStr">
        <is>
          <t>手续费及佣金支出</t>
        </is>
      </c>
      <c r="O319" s="21" t="inlineStr">
        <is>
          <t>按业务类型</t>
        </is>
      </c>
      <c r="P319" s="21" t="n"/>
    </row>
    <row r="320" outlineLevel="6">
      <c r="A320" s="43" t="inlineStr">
        <is>
          <t>银行卡业务手续费支出</t>
        </is>
      </c>
      <c r="B320" s="18" t="inlineStr">
        <is>
          <t>指标</t>
        </is>
      </c>
      <c r="C320" s="19" t="inlineStr">
        <is>
          <t>加</t>
        </is>
      </c>
      <c r="D320" s="20" t="n">
        <v>237.26</v>
      </c>
      <c r="E320" s="18" t="inlineStr">
        <is>
          <t>万元</t>
        </is>
      </c>
      <c r="F320" s="21" t="n"/>
      <c r="G320" s="19" t="n"/>
      <c r="H320" s="22" t="inlineStr">
        <is>
          <t>越小越好</t>
        </is>
      </c>
      <c r="I320" s="22" t="n"/>
      <c r="J320" s="22" t="inlineStr">
        <is>
          <t>银行卡业务手续费支出金额</t>
        </is>
      </c>
      <c r="K320" s="28" t="inlineStr">
        <is>
          <t>完全一致</t>
        </is>
      </c>
      <c r="L320" s="24" t="n"/>
      <c r="M320" s="25" t="n"/>
      <c r="N320" s="21" t="inlineStr">
        <is>
          <t>手续费及佣金支出</t>
        </is>
      </c>
      <c r="O320" s="21" t="inlineStr">
        <is>
          <t>按业务类型</t>
        </is>
      </c>
      <c r="P320" s="21" t="inlineStr">
        <is>
          <t>归因分析表 东台农商行 2026年6月本期（万元）</t>
        </is>
      </c>
    </row>
    <row r="321" outlineLevel="6">
      <c r="A321" s="43" t="inlineStr">
        <is>
          <t>结算业务手续费支出</t>
        </is>
      </c>
      <c r="B321" s="18" t="inlineStr">
        <is>
          <t>指标</t>
        </is>
      </c>
      <c r="C321" s="19" t="inlineStr">
        <is>
          <t>加</t>
        </is>
      </c>
      <c r="D321" s="20" t="n">
        <v>0.06</v>
      </c>
      <c r="E321" s="18" t="inlineStr">
        <is>
          <t>万元</t>
        </is>
      </c>
      <c r="F321" s="21" t="n"/>
      <c r="G321" s="19" t="n"/>
      <c r="H321" s="22" t="inlineStr">
        <is>
          <t>越小越好</t>
        </is>
      </c>
      <c r="I321" s="22" t="n"/>
      <c r="J321" s="22" t="inlineStr">
        <is>
          <t>结算业务手续费支出金额</t>
        </is>
      </c>
      <c r="K321" s="28" t="inlineStr">
        <is>
          <t>完全一致</t>
        </is>
      </c>
      <c r="L321" s="24" t="n"/>
      <c r="M321" s="25" t="n"/>
      <c r="N321" s="21" t="inlineStr">
        <is>
          <t>手续费及佣金支出</t>
        </is>
      </c>
      <c r="O321" s="21" t="inlineStr">
        <is>
          <t>按业务类型</t>
        </is>
      </c>
      <c r="P321" s="21" t="inlineStr">
        <is>
          <t>归因分析表 东台农商行 2026年6月本期（万元）</t>
        </is>
      </c>
    </row>
    <row r="322" outlineLevel="6">
      <c r="A322" s="43" t="inlineStr">
        <is>
          <t>代理业务手续费支出</t>
        </is>
      </c>
      <c r="B322" s="18" t="inlineStr">
        <is>
          <t>指标</t>
        </is>
      </c>
      <c r="C322" s="19" t="inlineStr">
        <is>
          <t>加</t>
        </is>
      </c>
      <c r="D322" s="20" t="n">
        <v>1.21</v>
      </c>
      <c r="E322" s="18" t="inlineStr">
        <is>
          <t>万元</t>
        </is>
      </c>
      <c r="F322" s="21" t="n"/>
      <c r="G322" s="19" t="n"/>
      <c r="H322" s="22" t="inlineStr">
        <is>
          <t>越小越好</t>
        </is>
      </c>
      <c r="I322" s="22" t="n"/>
      <c r="J322" s="22" t="inlineStr">
        <is>
          <t>代理业务手续费支出金额</t>
        </is>
      </c>
      <c r="K322" s="28" t="inlineStr">
        <is>
          <t>完全一致</t>
        </is>
      </c>
      <c r="L322" s="24" t="n"/>
      <c r="M322" s="25" t="n"/>
      <c r="N322" s="21" t="inlineStr">
        <is>
          <t>手续费及佣金支出</t>
        </is>
      </c>
      <c r="O322" s="21" t="inlineStr">
        <is>
          <t>按业务类型</t>
        </is>
      </c>
      <c r="P322" s="21" t="inlineStr">
        <is>
          <t>归因分析表 东台农商行 2026年6月本期（万元）</t>
        </is>
      </c>
    </row>
    <row r="323" outlineLevel="6">
      <c r="A323" s="43" t="inlineStr">
        <is>
          <t>其他手续费支出</t>
        </is>
      </c>
      <c r="B323" s="18" t="inlineStr">
        <is>
          <t>指标</t>
        </is>
      </c>
      <c r="C323" s="19" t="inlineStr">
        <is>
          <t>加</t>
        </is>
      </c>
      <c r="D323" s="20" t="n">
        <v>28.72</v>
      </c>
      <c r="E323" s="18" t="inlineStr">
        <is>
          <t>万元</t>
        </is>
      </c>
      <c r="F323" s="21" t="n"/>
      <c r="G323" s="19" t="n"/>
      <c r="H323" s="22" t="inlineStr">
        <is>
          <t>越小越好</t>
        </is>
      </c>
      <c r="I323" s="22" t="n"/>
      <c r="J323" s="22" t="inlineStr">
        <is>
          <t>其他手续费支出金额</t>
        </is>
      </c>
      <c r="K323" s="28" t="inlineStr">
        <is>
          <t>完全一致</t>
        </is>
      </c>
      <c r="L323" s="24" t="n"/>
      <c r="M323" s="25" t="n"/>
      <c r="N323" s="21" t="inlineStr">
        <is>
          <t>手续费及佣金支出</t>
        </is>
      </c>
      <c r="O323" s="21" t="inlineStr">
        <is>
          <t>按业务类型</t>
        </is>
      </c>
      <c r="P323" s="21" t="inlineStr">
        <is>
          <t>归因分析表 东台农商行 2026年6月本期（万元）</t>
        </is>
      </c>
    </row>
    <row r="324" outlineLevel="6">
      <c r="A324" s="43" t="inlineStr">
        <is>
          <t>其他中间业务支出</t>
        </is>
      </c>
      <c r="B324" s="18" t="inlineStr">
        <is>
          <t>指标</t>
        </is>
      </c>
      <c r="C324" s="19" t="inlineStr">
        <is>
          <t>加</t>
        </is>
      </c>
      <c r="D324" s="20" t="n">
        <v>1173.82</v>
      </c>
      <c r="E324" s="18" t="inlineStr">
        <is>
          <t>万元</t>
        </is>
      </c>
      <c r="F324" s="21" t="n"/>
      <c r="G324" s="19" t="n"/>
      <c r="H324" s="22" t="inlineStr">
        <is>
          <t>越小越好</t>
        </is>
      </c>
      <c r="I324" s="22" t="n"/>
      <c r="J324" s="22" t="inlineStr">
        <is>
          <t>其他中间业务支出金额</t>
        </is>
      </c>
      <c r="K324" s="28" t="inlineStr">
        <is>
          <t>完全一致</t>
        </is>
      </c>
      <c r="L324" s="24" t="n"/>
      <c r="M324" s="25" t="n"/>
      <c r="N324" s="21" t="inlineStr">
        <is>
          <t>手续费及佣金支出</t>
        </is>
      </c>
      <c r="O324" s="21" t="inlineStr">
        <is>
          <t>按业务类型</t>
        </is>
      </c>
      <c r="P324" s="21" t="inlineStr">
        <is>
          <t>归因分析表 东台农商行 2026年6月本期（万元）</t>
        </is>
      </c>
    </row>
    <row r="325" outlineLevel="5">
      <c r="A325" s="41" t="inlineStr">
        <is>
          <t>业务及管理费</t>
        </is>
      </c>
      <c r="B325" s="18" t="inlineStr">
        <is>
          <t>指标</t>
        </is>
      </c>
      <c r="C325" s="19" t="inlineStr">
        <is>
          <t>加</t>
        </is>
      </c>
      <c r="D325" s="20" t="n">
        <v>14525.98</v>
      </c>
      <c r="E325" s="18" t="inlineStr">
        <is>
          <t>万元</t>
        </is>
      </c>
      <c r="F325" s="21" t="n"/>
      <c r="G325" s="19" t="n"/>
      <c r="H325" s="22" t="inlineStr">
        <is>
          <t>越小越好</t>
        </is>
      </c>
      <c r="I325" s="22" t="n"/>
      <c r="J325" s="22" t="inlineStr">
        <is>
          <t>业务及管理费金额</t>
        </is>
      </c>
      <c r="K325" s="28" t="inlineStr">
        <is>
          <t>完全一致</t>
        </is>
      </c>
      <c r="L325" s="24" t="n"/>
      <c r="M325" s="25" t="n"/>
      <c r="N325" s="21" t="inlineStr">
        <is>
          <t>营业支出</t>
        </is>
      </c>
      <c r="O325" s="21" t="inlineStr">
        <is>
          <t>按支出类型</t>
        </is>
      </c>
      <c r="P325" s="21" t="inlineStr">
        <is>
          <t>归因分析表 东台农商行 2026年6月本期（万元）</t>
        </is>
      </c>
    </row>
    <row r="326" outlineLevel="3">
      <c r="A326" s="34" t="inlineStr">
        <is>
          <t>营业外收入</t>
        </is>
      </c>
      <c r="B326" s="18" t="inlineStr">
        <is>
          <t>指标</t>
        </is>
      </c>
      <c r="C326" s="19" t="inlineStr">
        <is>
          <t>加</t>
        </is>
      </c>
      <c r="D326" s="20" t="n">
        <v>30.19</v>
      </c>
      <c r="E326" s="18" t="inlineStr">
        <is>
          <t>万元</t>
        </is>
      </c>
      <c r="F326" s="21" t="n"/>
      <c r="G326" s="19" t="n"/>
      <c r="H326" s="22" t="inlineStr">
        <is>
          <t>越大越好</t>
        </is>
      </c>
      <c r="I326" s="22" t="n"/>
      <c r="J326" s="22" t="inlineStr">
        <is>
          <t>营业外收入金额</t>
        </is>
      </c>
      <c r="K326" s="28" t="inlineStr">
        <is>
          <t>完全一致</t>
        </is>
      </c>
      <c r="L326" s="24" t="n"/>
      <c r="M326" s="25" t="n"/>
      <c r="N326" s="21" t="inlineStr">
        <is>
          <t>利润总额</t>
        </is>
      </c>
      <c r="O326" s="21" t="inlineStr">
        <is>
          <t>利润构成</t>
        </is>
      </c>
      <c r="P326" s="21" t="inlineStr">
        <is>
          <t>归因分析表 东台农商行 2026年6月本期（万元）</t>
        </is>
      </c>
    </row>
    <row r="327" outlineLevel="3">
      <c r="A327" s="34" t="inlineStr">
        <is>
          <t>营业外支出</t>
        </is>
      </c>
      <c r="B327" s="18" t="inlineStr">
        <is>
          <t>指标</t>
        </is>
      </c>
      <c r="C327" s="19" t="inlineStr">
        <is>
          <t>减</t>
        </is>
      </c>
      <c r="D327" s="20" t="n">
        <v>280.64</v>
      </c>
      <c r="E327" s="18" t="inlineStr">
        <is>
          <t>万元</t>
        </is>
      </c>
      <c r="F327" s="21" t="n"/>
      <c r="G327" s="19" t="n"/>
      <c r="H327" s="22" t="inlineStr">
        <is>
          <t>越小越好</t>
        </is>
      </c>
      <c r="I327" s="22" t="n"/>
      <c r="J327" s="22" t="inlineStr">
        <is>
          <t>营业外支出金额</t>
        </is>
      </c>
      <c r="K327" s="28" t="inlineStr">
        <is>
          <t>完全一致</t>
        </is>
      </c>
      <c r="L327" s="24" t="n"/>
      <c r="M327" s="25" t="n"/>
      <c r="N327" s="21" t="inlineStr">
        <is>
          <t>利润总额</t>
        </is>
      </c>
      <c r="O327" s="21" t="inlineStr">
        <is>
          <t>利润构成</t>
        </is>
      </c>
      <c r="P327" s="21" t="inlineStr">
        <is>
          <t>归因分析表 东台农商行 2026年6月本期（万元）</t>
        </is>
      </c>
    </row>
    <row r="328" outlineLevel="2">
      <c r="A328" s="30" t="inlineStr">
        <is>
          <t>所得税费用</t>
        </is>
      </c>
      <c r="B328" s="18" t="inlineStr">
        <is>
          <t>指标</t>
        </is>
      </c>
      <c r="C328" s="19" t="inlineStr">
        <is>
          <t>减</t>
        </is>
      </c>
      <c r="D328" s="20" t="n">
        <v>293.25</v>
      </c>
      <c r="E328" s="18" t="inlineStr">
        <is>
          <t>万元</t>
        </is>
      </c>
      <c r="F328" s="21" t="n"/>
      <c r="G328" s="19" t="n"/>
      <c r="H328" s="22" t="inlineStr">
        <is>
          <t>越小越好</t>
        </is>
      </c>
      <c r="I328" s="22" t="n"/>
      <c r="J328" s="22" t="inlineStr">
        <is>
          <t>所得税费用金额</t>
        </is>
      </c>
      <c r="K328" s="28" t="inlineStr">
        <is>
          <t>完全一致</t>
        </is>
      </c>
      <c r="L328" s="24" t="n"/>
      <c r="M328" s="25" t="n"/>
      <c r="N328" s="21" t="inlineStr">
        <is>
          <t>净利润</t>
        </is>
      </c>
      <c r="O328" s="21" t="inlineStr">
        <is>
          <t>利润构成</t>
        </is>
      </c>
      <c r="P328" s="21" t="inlineStr">
        <is>
          <t>归因分析表 东台农商行 2026年6月本期（万元）</t>
        </is>
      </c>
    </row>
    <row r="329" outlineLevel="1">
      <c r="A329" s="17" t="inlineStr">
        <is>
          <t>存款付息率</t>
        </is>
      </c>
      <c r="B329" s="18" t="inlineStr">
        <is>
          <t>指标</t>
        </is>
      </c>
      <c r="C329" s="19" t="n"/>
      <c r="D329" s="27" t="n">
        <v>0.01</v>
      </c>
      <c r="E329" s="18" t="inlineStr">
        <is>
          <t>%</t>
        </is>
      </c>
      <c r="F329" s="21" t="n"/>
      <c r="G329" s="19" t="n"/>
      <c r="H329" s="22" t="inlineStr">
        <is>
          <t>越小越好</t>
        </is>
      </c>
      <c r="I329" s="22" t="n"/>
      <c r="J329" s="22" t="inlineStr">
        <is>
          <t>存款付息比率</t>
        </is>
      </c>
      <c r="K329" s="28" t="inlineStr">
        <is>
          <t>完全一致</t>
        </is>
      </c>
      <c r="L329" s="24" t="n"/>
      <c r="M329" s="25" t="n"/>
      <c r="N329" s="21" t="n"/>
      <c r="O329" s="21" t="n"/>
      <c r="P329" s="21" t="inlineStr">
        <is>
          <t>一览表 2026年7月末（全省，亿元/万户）</t>
        </is>
      </c>
    </row>
    <row r="330" outlineLevel="1">
      <c r="A330" s="17" t="inlineStr">
        <is>
          <t>贷款收息率</t>
        </is>
      </c>
      <c r="B330" s="18" t="inlineStr">
        <is>
          <t>指标</t>
        </is>
      </c>
      <c r="C330" s="19" t="n"/>
      <c r="D330" s="27" t="n">
        <v>0.03</v>
      </c>
      <c r="E330" s="18" t="inlineStr">
        <is>
          <t>%</t>
        </is>
      </c>
      <c r="F330" s="21" t="n"/>
      <c r="G330" s="19" t="n"/>
      <c r="H330" s="22" t="inlineStr">
        <is>
          <t>越大越好</t>
        </is>
      </c>
      <c r="I330" s="22" t="n"/>
      <c r="J330" s="22" t="inlineStr">
        <is>
          <t>贷款收息比率</t>
        </is>
      </c>
      <c r="K330" s="28" t="inlineStr">
        <is>
          <t>完全一致</t>
        </is>
      </c>
      <c r="L330" s="24" t="n"/>
      <c r="M330" s="25" t="n"/>
      <c r="N330" s="21" t="n"/>
      <c r="O330" s="21" t="n"/>
      <c r="P330" s="21" t="inlineStr">
        <is>
          <t>一览表 2026年7月末（全省，亿元/万户）</t>
        </is>
      </c>
    </row>
    <row r="331" outlineLevel="1">
      <c r="A331" s="17" t="inlineStr">
        <is>
          <t>净息差</t>
        </is>
      </c>
      <c r="B331" s="18" t="inlineStr">
        <is>
          <t>指标</t>
        </is>
      </c>
      <c r="C331" s="19" t="n"/>
      <c r="D331" s="27" t="n">
        <v>0.02</v>
      </c>
      <c r="E331" s="18" t="inlineStr">
        <is>
          <t>%</t>
        </is>
      </c>
      <c r="F331" s="21" t="n"/>
      <c r="G331" s="19" t="n"/>
      <c r="H331" s="22" t="inlineStr">
        <is>
          <t>越大越好</t>
        </is>
      </c>
      <c r="I331" s="22" t="n"/>
      <c r="J331" s="22" t="n"/>
      <c r="K331" s="23" t="inlineStr">
        <is>
          <t>目录中未找到</t>
        </is>
      </c>
      <c r="L331" s="24" t="n"/>
      <c r="M331" s="25" t="n"/>
      <c r="N331" s="21" t="n"/>
      <c r="O331" s="21" t="n"/>
      <c r="P331" s="21" t="inlineStr">
        <is>
          <t>一览表 2026年7月末（全省，亿元/万户）</t>
        </is>
      </c>
    </row>
    <row r="332" outlineLevel="1">
      <c r="A332" s="17" t="inlineStr">
        <is>
          <t>资本收益率</t>
        </is>
      </c>
      <c r="B332" s="18" t="inlineStr">
        <is>
          <t>指标</t>
        </is>
      </c>
      <c r="C332" s="19" t="n"/>
      <c r="D332" s="27" t="inlineStr">
        <is>
          <t>季度指标</t>
        </is>
      </c>
      <c r="E332" s="18" t="inlineStr">
        <is>
          <t>%</t>
        </is>
      </c>
      <c r="F332" s="21" t="n"/>
      <c r="G332" s="19" t="n"/>
      <c r="H332" s="22" t="inlineStr">
        <is>
          <t>越大越好</t>
        </is>
      </c>
      <c r="I332" s="22" t="n"/>
      <c r="J332" s="22" t="inlineStr">
        <is>
          <t>资本利润比率</t>
        </is>
      </c>
      <c r="K332" s="32" t="inlineStr">
        <is>
          <t>近似，请核对</t>
        </is>
      </c>
      <c r="L332" s="24" t="n"/>
      <c r="M332" s="25" t="inlineStr">
        <is>
          <t>考核要求 ≥11%；季度指标</t>
        </is>
      </c>
      <c r="N332" s="21" t="n"/>
      <c r="O332" s="21" t="n"/>
      <c r="P332" s="21" t="inlineStr">
        <is>
          <t>一览表 2026年7月末（全省，亿元/万户）</t>
        </is>
      </c>
    </row>
    <row r="333" outlineLevel="1">
      <c r="A333" s="17" t="inlineStr">
        <is>
          <t>净收入费用率</t>
        </is>
      </c>
      <c r="B333" s="18" t="inlineStr">
        <is>
          <t>指标</t>
        </is>
      </c>
      <c r="C333" s="19" t="n"/>
      <c r="D333" s="27" t="n">
        <v>0.28</v>
      </c>
      <c r="E333" s="18" t="inlineStr">
        <is>
          <t>%</t>
        </is>
      </c>
      <c r="F333" s="21" t="n"/>
      <c r="G333" s="19" t="n"/>
      <c r="H333" s="22" t="inlineStr">
        <is>
          <t>越小越好</t>
        </is>
      </c>
      <c r="I333" s="22" t="n"/>
      <c r="J333" s="22" t="inlineStr">
        <is>
          <t>净收入费用比率</t>
        </is>
      </c>
      <c r="K333" s="28" t="inlineStr">
        <is>
          <t>完全一致</t>
        </is>
      </c>
      <c r="L333" s="24" t="n"/>
      <c r="M333" s="25" t="inlineStr">
        <is>
          <t>考核要求 ≤35%</t>
        </is>
      </c>
      <c r="N333" s="21" t="n"/>
      <c r="O333" s="21" t="n"/>
      <c r="P333" s="21" t="inlineStr">
        <is>
          <t>一览表 2026年7月末（全省，亿元/万户）</t>
        </is>
      </c>
    </row>
    <row r="334" outlineLevel="1">
      <c r="A334" s="17" t="inlineStr">
        <is>
          <t>金融市场业务净收益</t>
        </is>
      </c>
      <c r="B334" s="18" t="inlineStr">
        <is>
          <t>指标</t>
        </is>
      </c>
      <c r="C334" s="19" t="n"/>
      <c r="D334" s="20" t="n">
        <v>39161.08</v>
      </c>
      <c r="E334" s="18" t="inlineStr">
        <is>
          <t>万元</t>
        </is>
      </c>
      <c r="F334" s="21" t="n"/>
      <c r="G334" s="19" t="n"/>
      <c r="H334" s="22" t="inlineStr">
        <is>
          <t>越大越好</t>
        </is>
      </c>
      <c r="I334" s="22" t="n"/>
      <c r="J334" s="22" t="inlineStr">
        <is>
          <t>金融市场业务净收益金额</t>
        </is>
      </c>
      <c r="K334" s="28" t="inlineStr">
        <is>
          <t>完全一致</t>
        </is>
      </c>
      <c r="L334" s="24" t="n"/>
      <c r="M334" s="25" t="n"/>
      <c r="N334" s="21" t="n"/>
      <c r="O334" s="21" t="n"/>
      <c r="P334" s="21" t="inlineStr">
        <is>
          <t>归因分析表 东台农商行 2026年6月本期（万元）</t>
        </is>
      </c>
    </row>
    <row r="335" outlineLevel="2">
      <c r="A335" s="29" t="inlineStr">
        <is>
          <t>〔收支轧差〕</t>
        </is>
      </c>
      <c r="B335" s="18" t="inlineStr">
        <is>
          <t>拆解方式</t>
        </is>
      </c>
      <c r="C335" s="18" t="n"/>
      <c r="D335" s="20" t="n"/>
      <c r="E335" s="18" t="n"/>
      <c r="F335" s="21">
        <f>IF((COUNTIFS($N$3:$N$337,N335,$O$3:$O$337,O335,$C$3:$C$337,"加")+COUNTIFS($N$3:$N$337,N335,$O$3:$O$337,O335,$C$3:$C$337,"减"))=0,"其中项，不参与加总",IF(ISNUMBER(D334)=FALSE,"上级无数值，无法校验",IF(SUMPRODUCT(($N$3:$N$337=N335)*($O$3:$O$337=O335)*(($C$3:$C$337="加")+($C$3:$C$337="减"))*(ISNUMBER($D$3:$D$337)=FALSE))&gt;0,"部分下级无数值，无法校验",IF(ABS(D334-(SUMIFS($D$3:$D$337,$N$3:$N$337,N335,$O$3:$O$337,O335,$C$3:$C$337,"加")-SUMIFS($D$3:$D$337,$N$3:$N$337,N335,$O$3:$O$337,O335,$C$3:$C$337,"减")))&lt;=MAX(0.05,ABS(D334)*0.0005),"✓ 合计与上级一致","✗ 合计与上级相差 "&amp;TEXT(D334-(SUMIFS($D$3:$D$337,$N$3:$N$337,N335,$O$3:$O$337,O335,$C$3:$C$337,"加")-SUMIFS($D$3:$D$337,$N$3:$N$337,N335,$O$3:$O$337,O335,$C$3:$C$337,"减")),"#,##0.00")))))</f>
        <v/>
      </c>
      <c r="G335" s="18" t="n"/>
      <c r="H335" s="21" t="n"/>
      <c r="I335" s="21" t="n"/>
      <c r="J335" s="21" t="n"/>
      <c r="K335" s="18" t="n"/>
      <c r="L335" s="18" t="n"/>
      <c r="M335" s="21" t="n"/>
      <c r="N335" s="21" t="inlineStr">
        <is>
          <t>金融市场业务净收益</t>
        </is>
      </c>
      <c r="O335" s="21" t="inlineStr">
        <is>
          <t>收支轧差</t>
        </is>
      </c>
      <c r="P335" s="21" t="n"/>
    </row>
    <row r="336" outlineLevel="2">
      <c r="A336" s="39" t="inlineStr">
        <is>
          <t>↪ 金融市场收入</t>
        </is>
      </c>
      <c r="B336" s="18" t="inlineStr">
        <is>
          <t>引用</t>
        </is>
      </c>
      <c r="C336" s="19" t="inlineStr">
        <is>
          <t>加</t>
        </is>
      </c>
      <c r="D336" s="20" t="n">
        <v>41458.21</v>
      </c>
      <c r="E336" s="18" t="inlineStr">
        <is>
          <t>万元</t>
        </is>
      </c>
      <c r="F336" s="21" t="n"/>
      <c r="G336" s="19" t="n"/>
      <c r="H336" s="22" t="n"/>
      <c r="I336" s="22" t="n"/>
      <c r="J336" s="22" t="n"/>
      <c r="K336" s="18" t="n"/>
      <c r="L336" s="24" t="n"/>
      <c r="M336" s="25" t="inlineStr">
        <is>
          <t>展开见：净利润 › 利润总额 › 营业利润 › 营业收入 › 金融市场收入</t>
        </is>
      </c>
      <c r="N336" s="21" t="inlineStr">
        <is>
          <t>金融市场业务净收益</t>
        </is>
      </c>
      <c r="O336" s="21" t="inlineStr">
        <is>
          <t>收支轧差</t>
        </is>
      </c>
      <c r="P336" s="21" t="inlineStr">
        <is>
          <t>归因分析表 东台农商行 2026年6月本期（万元）</t>
        </is>
      </c>
    </row>
    <row r="337" outlineLevel="2">
      <c r="A337" s="39" t="inlineStr">
        <is>
          <t>↪ 金融机构往来支出</t>
        </is>
      </c>
      <c r="B337" s="18" t="inlineStr">
        <is>
          <t>引用</t>
        </is>
      </c>
      <c r="C337" s="19" t="inlineStr">
        <is>
          <t>减</t>
        </is>
      </c>
      <c r="D337" s="20" t="n">
        <v>2297.12</v>
      </c>
      <c r="E337" s="18" t="inlineStr">
        <is>
          <t>万元</t>
        </is>
      </c>
      <c r="F337" s="21" t="n"/>
      <c r="G337" s="19" t="n"/>
      <c r="H337" s="22" t="n"/>
      <c r="I337" s="22" t="n"/>
      <c r="J337" s="22" t="n"/>
      <c r="K337" s="18" t="n"/>
      <c r="L337" s="24" t="n"/>
      <c r="M337" s="25" t="inlineStr">
        <is>
          <t>展开见：净利润 › 利润总额 › 营业利润 › 营业支出 › 金融机构往来支出</t>
        </is>
      </c>
      <c r="N337" s="21" t="inlineStr">
        <is>
          <t>金融市场业务净收益</t>
        </is>
      </c>
      <c r="O337" s="21" t="inlineStr">
        <is>
          <t>收支轧差</t>
        </is>
      </c>
      <c r="P337" s="21" t="inlineStr">
        <is>
          <t>归因分析表 东台农商行 2026年6月本期（万元）</t>
        </is>
      </c>
    </row>
  </sheetData>
  <autoFilter ref="A2:P337"/>
  <dataValidations count="4">
    <dataValidation sqref="C3:C337" showDropDown="0" showInputMessage="0" showErrorMessage="0" allowBlank="1" type="list">
      <formula1>=L_OP</formula1>
    </dataValidation>
    <dataValidation sqref="G3:G337" showDropDown="0" showInputMessage="0" showErrorMessage="0" allowBlank="1" type="list">
      <formula1>=L_YN</formula1>
    </dataValidation>
    <dataValidation sqref="H3:H337" showDropDown="0" showInputMessage="0" showErrorMessage="0" allowBlank="1" type="list">
      <formula1>=L_DIR</formula1>
    </dataValidation>
    <dataValidation sqref="L3:L337" showDropDown="0" showInputMessage="0" showErrorMessage="0" allowBlank="1" type="list">
      <formula1>=L_CONF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</t>
        </is>
      </c>
      <c r="B1" t="inlineStr">
        <is>
          <t>越大越好</t>
        </is>
      </c>
      <c r="C1" t="inlineStr">
        <is>
          <t>加</t>
        </is>
      </c>
      <c r="D1" t="inlineStr">
        <is>
          <t>正确</t>
        </is>
      </c>
      <c r="E1" t="inlineStr">
        <is>
          <t>当日数</t>
        </is>
      </c>
    </row>
    <row r="2">
      <c r="A2" t="inlineStr">
        <is>
          <t>否</t>
        </is>
      </c>
      <c r="B2" t="inlineStr">
        <is>
          <t>越小越好</t>
        </is>
      </c>
      <c r="C2" t="inlineStr">
        <is>
          <t>减</t>
        </is>
      </c>
      <c r="D2" t="inlineStr">
        <is>
          <t>有误（备注说明）</t>
        </is>
      </c>
      <c r="E2" t="inlineStr">
        <is>
          <t>进取类均值</t>
        </is>
      </c>
    </row>
    <row r="3">
      <c r="B3" t="inlineStr">
        <is>
          <t>无明显好坏</t>
        </is>
      </c>
      <c r="C3" t="inlineStr">
        <is>
          <t>其中</t>
        </is>
      </c>
      <c r="D3" t="inlineStr">
        <is>
          <t>目录中没有</t>
        </is>
      </c>
      <c r="E3" t="inlineStr">
        <is>
          <t>较年初</t>
        </is>
      </c>
    </row>
    <row r="4">
      <c r="D4" t="inlineStr">
        <is>
          <t>不需要</t>
        </is>
      </c>
      <c r="E4" t="inlineStr">
        <is>
          <t>较年初增幅</t>
        </is>
      </c>
    </row>
    <row r="5">
      <c r="E5" t="inlineStr">
        <is>
          <t>较年初增幅层级排名</t>
        </is>
      </c>
    </row>
    <row r="6">
      <c r="E6" t="inlineStr">
        <is>
          <t>较年初增幅排名</t>
        </is>
      </c>
    </row>
    <row r="7">
      <c r="E7" t="inlineStr">
        <is>
          <t>较年初增量排名</t>
        </is>
      </c>
    </row>
    <row r="8">
      <c r="E8" t="inlineStr">
        <is>
          <t>较上月</t>
        </is>
      </c>
    </row>
    <row r="9">
      <c r="E9" t="inlineStr">
        <is>
          <t>较上月增幅</t>
        </is>
      </c>
    </row>
    <row r="10">
      <c r="E10" t="inlineStr">
        <is>
          <t>较上月增幅排名</t>
        </is>
      </c>
    </row>
    <row r="11">
      <c r="E11" t="inlineStr">
        <is>
          <t>较上月增量排名</t>
        </is>
      </c>
    </row>
    <row r="12">
      <c r="E12" t="inlineStr">
        <is>
          <t>较上季</t>
        </is>
      </c>
    </row>
    <row r="13">
      <c r="E13" t="inlineStr">
        <is>
          <t>较上季增幅</t>
        </is>
      </c>
    </row>
    <row r="14">
      <c r="E14" t="inlineStr">
        <is>
          <t>较上季增幅排名</t>
        </is>
      </c>
    </row>
    <row r="15">
      <c r="E15" t="inlineStr">
        <is>
          <t>较上季增量排名</t>
        </is>
      </c>
    </row>
    <row r="16">
      <c r="E16" t="inlineStr">
        <is>
          <t>较层级均值</t>
        </is>
      </c>
    </row>
    <row r="17">
      <c r="E17" t="inlineStr">
        <is>
          <t>较全省均值</t>
        </is>
      </c>
    </row>
    <row r="18">
      <c r="E18" t="inlineStr">
        <is>
          <t>较全省均值增量排名</t>
        </is>
      </c>
    </row>
    <row r="19">
      <c r="E19" t="inlineStr">
        <is>
          <t>较同期</t>
        </is>
      </c>
    </row>
    <row r="20">
      <c r="E20" t="inlineStr">
        <is>
          <t>较同期增幅</t>
        </is>
      </c>
    </row>
    <row r="21">
      <c r="E21" t="inlineStr">
        <is>
          <t>较同期增幅排名</t>
        </is>
      </c>
    </row>
    <row r="22">
      <c r="E22" t="inlineStr">
        <is>
          <t>较同期增量排名</t>
        </is>
      </c>
    </row>
    <row r="23">
      <c r="E23" t="inlineStr">
        <is>
          <t>较同期期末</t>
        </is>
      </c>
    </row>
    <row r="24">
      <c r="E24" t="inlineStr">
        <is>
          <t>较同期期末增幅</t>
        </is>
      </c>
    </row>
    <row r="25">
      <c r="E25" t="inlineStr">
        <is>
          <t>较同期期末增幅排名</t>
        </is>
      </c>
    </row>
    <row r="26">
      <c r="E26" t="inlineStr">
        <is>
          <t>较同期期末增量排名</t>
        </is>
      </c>
    </row>
    <row r="27">
      <c r="E27" t="inlineStr">
        <is>
          <t>提升类均值</t>
        </is>
      </c>
    </row>
    <row r="28">
      <c r="E28" t="inlineStr">
        <is>
          <t>拓展类均值</t>
        </is>
      </c>
    </row>
    <row r="29">
      <c r="E29" t="inlineStr">
        <is>
          <t>成长类均值</t>
        </is>
      </c>
    </row>
    <row r="30">
      <c r="E30" t="inlineStr">
        <is>
          <t>层级排名</t>
        </is>
      </c>
    </row>
    <row r="31">
      <c r="E31" t="inlineStr">
        <is>
          <t>当日数地区排名</t>
        </is>
      </c>
    </row>
    <row r="32">
      <c r="E32" t="inlineStr">
        <is>
          <t>当日数排名</t>
        </is>
      </c>
    </row>
    <row r="33">
      <c r="E33" t="inlineStr">
        <is>
          <t>全省均值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2026-10-09T03:33:40Z</dcterms:created>
  <dcterms:modified xsi:type="dcterms:W3CDTF">2026-10-09T03:33:40Z</dcterms:modified>
</cp:coreProperties>
</file>