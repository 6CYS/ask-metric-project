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存款-指标树" sheetId="2" state="visible" r:id="rId2"/>
    <sheet name="口径字典" sheetId="3" state="visible" r:id="rId3"/>
    <sheet name="报表列对应" sheetId="4" state="visible" r:id="rId4"/>
    <sheet name="报表数值（对账用）" sheetId="5" state="visible" r:id="rId5"/>
    <sheet name="需确认问题" sheetId="6" state="visible" r:id="rId6"/>
    <sheet name="修改记录" sheetId="7" state="visible" r:id="rId7"/>
    <sheet name="选项" sheetId="8" state="hidden" r:id="rId8"/>
  </sheets>
  <definedNames>
    <definedName name="L_KIND">'选项'!$A$1:$A$2</definedName>
    <definedName name="L_OP">'选项'!$B$1:$B$3</definedName>
    <definedName name="L_DIR">'选项'!$C$1:$C$3</definedName>
    <definedName name="L_YN">'选项'!$D$1:$D$2</definedName>
    <definedName name="L_STATUS">'选项'!$E$1:$E$5</definedName>
    <definedName name="_xlnm._FilterDatabase" localSheetId="1" hidden="1">'存款-指标树'!$A$2:$R$32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color rgb="0044546A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C55A11"/>
      <sz val="10"/>
    </font>
    <font>
      <name val="微软雅黑"/>
      <b val="1"/>
      <color rgb="00BF8F00"/>
      <sz val="10"/>
    </font>
    <font>
      <name val="微软雅黑"/>
      <color rgb="007F7F7F"/>
      <sz val="10"/>
    </font>
    <font>
      <name val="微软雅黑"/>
      <b val="1"/>
      <color rgb="00C00000"/>
      <sz val="10"/>
    </font>
    <font>
      <name val="微软雅黑"/>
      <color rgb="00BF8F00"/>
      <sz val="10"/>
    </font>
    <font>
      <name val="微软雅黑"/>
      <color rgb="00548235"/>
      <sz val="10"/>
    </font>
    <font>
      <name val="微软雅黑"/>
      <color rgb="00C00000"/>
      <sz val="10"/>
    </font>
    <font>
      <name val="微软雅黑"/>
      <color rgb="00595959"/>
      <sz val="9"/>
    </font>
    <font>
      <name val="微软雅黑"/>
      <b val="1"/>
      <color rgb="001F3864"/>
      <sz val="16"/>
    </font>
    <font>
      <name val="微软雅黑"/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EAF1FB"/>
      </patternFill>
    </fill>
    <fill>
      <patternFill patternType="solid">
        <fgColor rgb="007F7F7F"/>
      </patternFill>
    </fill>
    <fill>
      <patternFill patternType="solid">
        <fgColor rgb="00BF8F00"/>
      </patternFill>
    </fill>
    <fill>
      <patternFill patternType="solid">
        <fgColor rgb="00548235"/>
      </patternFill>
    </fill>
    <fill>
      <patternFill patternType="solid">
        <fgColor rgb="00FFF9E6"/>
      </patternFill>
    </fill>
    <fill>
      <patternFill patternType="solid">
        <fgColor rgb="00F1F8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3" fillId="0" borderId="0" pivotButton="0" quotePrefix="0" xfId="0"/>
    <xf numFmtId="0" fontId="1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indent="2"/>
    </xf>
    <xf numFmtId="0" fontId="6" fillId="7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indent="4"/>
    </xf>
    <xf numFmtId="1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indent="4"/>
    </xf>
    <xf numFmtId="0" fontId="7" fillId="0" borderId="1" applyAlignment="1" pivotButton="0" quotePrefix="0" xfId="0">
      <alignment vertical="top" indent="6"/>
    </xf>
    <xf numFmtId="0" fontId="3" fillId="0" borderId="1" applyAlignment="1" pivotButton="0" quotePrefix="0" xfId="0">
      <alignment vertical="top" indent="6"/>
    </xf>
    <xf numFmtId="0" fontId="7" fillId="0" borderId="1" applyAlignment="1" pivotButton="0" quotePrefix="0" xfId="0">
      <alignment vertical="top" indent="8"/>
    </xf>
    <xf numFmtId="0" fontId="8" fillId="7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0" pivotButton="0" quotePrefix="0" xfId="0"/>
    <xf numFmtId="4" fontId="3" fillId="0" borderId="1" applyAlignment="1" pivotButton="0" quotePrefix="0" xfId="0">
      <alignment horizontal="right" vertical="top"/>
    </xf>
    <xf numFmtId="10" fontId="3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2">
      <c r="B2" s="1" t="inlineStr">
        <is>
          <t>业务语义维护表 · 存款（初稿）</t>
        </is>
      </c>
    </row>
    <row r="3">
      <c r="B3" s="2" t="inlineStr">
        <is>
          <t>依据《全省农商行2026年7月主要经营指标一览表》存款部分整理。数据湖编号为系统按名称找到的候选，需经数值对账和业务确认。2026-10-09</t>
        </is>
      </c>
    </row>
    <row r="5">
      <c r="B5" s="3" t="inlineStr">
        <is>
          <t>这份表维护什么</t>
        </is>
      </c>
    </row>
    <row r="6">
      <c r="B6" s="4" t="inlineStr">
        <is>
          <t>存款-指标树</t>
        </is>
      </c>
      <c r="C6" s="5" t="inlineStr">
        <is>
          <t>行：存款有哪些指标、上下级、加减，以及每个指标对应数据湖的哪个编号。业务主要维护这张。</t>
        </is>
      </c>
    </row>
    <row r="7">
      <c r="B7" s="4" t="inlineStr">
        <is>
          <t>口径字典</t>
        </is>
      </c>
      <c r="C7" s="5" t="inlineStr">
        <is>
          <t>列：当日数、较年初、较同期等口径的含义和常见说法。全行共用一张，各板块不必重复维护。</t>
        </is>
      </c>
    </row>
    <row r="8">
      <c r="B8" s="4" t="inlineStr">
        <is>
          <t>报表列对应</t>
        </is>
      </c>
      <c r="C8" s="5" t="inlineStr">
        <is>
          <t>一览表的每一列对应哪个口径、怎么算，已用报表自身数值验证。</t>
        </is>
      </c>
    </row>
    <row r="9">
      <c r="B9" s="4" t="inlineStr">
        <is>
          <t>报表数值（对账用）</t>
        </is>
      </c>
      <c r="C9" s="5" t="inlineStr">
        <is>
          <t>一览表存款部分的原始数值，对账脚本用它逐行比对数据湖。</t>
        </is>
      </c>
    </row>
    <row r="10">
      <c r="B10" s="4" t="inlineStr">
        <is>
          <t>需确认问题</t>
        </is>
      </c>
      <c r="C10" s="5" t="inlineStr">
        <is>
          <t>汇总了所有需要业务方或数据方回答的问题。</t>
        </is>
      </c>
    </row>
    <row r="12">
      <c r="B12" s="3" t="inlineStr">
        <is>
          <t>状态说明</t>
        </is>
      </c>
    </row>
    <row r="13">
      <c r="B13" s="4" t="inlineStr">
        <is>
          <t>待对账</t>
        </is>
      </c>
      <c r="C13" s="5" t="inlineStr">
        <is>
          <t>候选编号明确，等系统用真实数据对账，数字对上即改为“已确认”。</t>
        </is>
      </c>
    </row>
    <row r="14">
      <c r="B14" s="4" t="inlineStr">
        <is>
          <t>待确认</t>
        </is>
      </c>
      <c r="C14" s="5" t="inlineStr">
        <is>
          <t>有多个候选或口径不清，需要业务方或数据方选择。</t>
        </is>
      </c>
    </row>
    <row r="15">
      <c r="B15" s="4" t="inlineStr">
        <is>
          <t>数据湖无此指标</t>
        </is>
      </c>
      <c r="C15" s="5" t="inlineStr">
        <is>
          <t>按名称找不到，请数据方指认编号，或确认数据湖确实没有。</t>
        </is>
      </c>
    </row>
    <row r="16">
      <c r="B16" s="4" t="inlineStr">
        <is>
          <t>已确认</t>
        </is>
      </c>
      <c r="C16" s="5" t="inlineStr">
        <is>
          <t>可以导入系统使用。</t>
        </is>
      </c>
    </row>
    <row r="18">
      <c r="B18" s="3" t="inlineStr">
        <is>
          <t>维护分工</t>
        </is>
      </c>
    </row>
    <row r="19">
      <c r="B19" s="4" t="inlineStr">
        <is>
          <t>业务负责人</t>
        </is>
      </c>
      <c r="C19" s="5" t="inlineStr">
        <is>
          <t>树的结构、加减关系、好坏方向、核心指标、默认口径。</t>
        </is>
      </c>
    </row>
    <row r="20">
      <c r="B20" s="4" t="inlineStr">
        <is>
          <t>数据方</t>
        </is>
      </c>
      <c r="C20" s="5" t="inlineStr">
        <is>
          <t>数据湖指标编号、口径含义。</t>
        </is>
      </c>
    </row>
    <row r="21">
      <c r="B21" s="4" t="inlineStr">
        <is>
          <t>系统组</t>
        </is>
      </c>
      <c r="C21" s="5" t="inlineStr">
        <is>
          <t>候选预填、数值对账、导入与校验。</t>
        </is>
      </c>
    </row>
    <row r="23">
      <c r="B23" s="3" t="inlineStr">
        <is>
          <t>整理进度（自动统计）</t>
        </is>
      </c>
    </row>
    <row r="24">
      <c r="B24" s="5" t="inlineStr">
        <is>
          <t>指标 / 比率</t>
        </is>
      </c>
      <c r="C24" s="6">
        <f>COUNTIF('存款-指标树'!C3:C32,"指标")&amp;" 个指标 / "&amp;COUNTIF('存款-指标树'!C3:C32,"比率")&amp;" 个比率"</f>
        <v/>
      </c>
    </row>
    <row r="25">
      <c r="B25" s="5" t="inlineStr">
        <is>
          <t>已确认</t>
        </is>
      </c>
      <c r="C25" s="6">
        <f>COUNTIF('存款-指标树'!M3:M32,"已确认")</f>
        <v/>
      </c>
    </row>
    <row r="26">
      <c r="B26" s="5" t="inlineStr">
        <is>
          <t>待对账</t>
        </is>
      </c>
      <c r="C26" s="6">
        <f>COUNTIF('存款-指标树'!M3:M32,"待对账")</f>
        <v/>
      </c>
    </row>
    <row r="27">
      <c r="B27" s="5" t="inlineStr">
        <is>
          <t>待确认</t>
        </is>
      </c>
      <c r="C27" s="6">
        <f>COUNTIF('存款-指标树'!M3:M32,"待确认")</f>
        <v/>
      </c>
    </row>
    <row r="28">
      <c r="B28" s="5" t="inlineStr">
        <is>
          <t>数据湖无此指标</t>
        </is>
      </c>
      <c r="C28" s="6">
        <f>COUNTIF('存款-指标树'!M3:M32,"数据湖无此指标")</f>
        <v/>
      </c>
    </row>
    <row r="29">
      <c r="B29" s="5" t="inlineStr">
        <is>
          <t>加总校验不一致的组</t>
        </is>
      </c>
      <c r="C29" s="6">
        <f>COUNTIF('存款-指标树'!R3:R32,"✗*")</f>
        <v/>
      </c>
    </row>
    <row r="30">
      <c r="B30" s="5" t="inlineStr">
        <is>
          <t>待答复问题</t>
        </is>
      </c>
      <c r="C30" s="6">
        <f>COUNTA('需确认问题'!D2:D13)-COUNTA('需确认问题'!F2:F13)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3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34" customWidth="1" min="4" max="4"/>
    <col width="11" customWidth="1" min="5" max="5"/>
    <col width="8" customWidth="1" min="6" max="6"/>
    <col width="36" customWidth="1" min="7" max="7"/>
    <col width="32" customWidth="1" min="8" max="8"/>
    <col width="20" customWidth="1" min="9" max="9"/>
    <col width="6" customWidth="1" min="10" max="10"/>
    <col width="10" customWidth="1" min="11" max="11"/>
    <col width="7" customWidth="1" min="12" max="12"/>
    <col width="12" customWidth="1" min="13" max="13"/>
    <col width="44" customWidth="1" min="14" max="14"/>
    <col width="40" customWidth="1" min="15" max="15"/>
    <col width="13" customWidth="1" min="16" max="16"/>
    <col width="9" customWidth="1" min="17" max="17"/>
    <col width="26" customWidth="1" min="18" max="18"/>
  </cols>
  <sheetData>
    <row r="1" ht="58" customHeight="1">
      <c r="A1" s="7" t="inlineStr">
        <is>
          <t>一览表中的序号，便于对照</t>
        </is>
      </c>
      <c r="B1" s="7" t="inlineStr">
        <is>
          <t>表示上下级：1.1 的上级是 1，1.1.2 的上级是 1.1。比率行不编号</t>
        </is>
      </c>
      <c r="C1" s="7" t="inlineStr">
        <is>
          <t>指标 / 比率</t>
        </is>
      </c>
      <c r="D1" s="7" t="inlineStr">
        <is>
          <t>按层级缩进；灰色为比率</t>
        </is>
      </c>
      <c r="E1" s="7" t="inlineStr">
        <is>
          <t>同一上级下的分组，如按存款类型、按期限；“其中项”不参与加总</t>
        </is>
      </c>
      <c r="F1" s="7" t="inlineStr">
        <is>
          <t>加：计入上级；减：从上级扣除；其中：属于上级但与其他项交叉</t>
        </is>
      </c>
      <c r="G1" s="7" t="inlineStr">
        <is>
          <t>关联的关键列。多个编号依次记为 A、B，在“计算方式”中写组合方法</t>
        </is>
      </c>
      <c r="H1" s="7" t="inlineStr">
        <is>
          <t>按编号自动对应，便于阅读</t>
        </is>
      </c>
      <c r="I1" s="7" t="inlineStr">
        <is>
          <t>比率：分子编号 ÷ 分母编号；组合：如 A + B。单个编号时留空</t>
        </is>
      </c>
      <c r="J1" s="7" t="n"/>
      <c r="K1" s="7" t="inlineStr">
        <is>
          <t>建议值，请确认</t>
        </is>
      </c>
      <c r="L1" s="7" t="inlineStr">
        <is>
          <t>看“存款整体情况”时优先看的指标</t>
        </is>
      </c>
      <c r="M1" s="7" t="inlineStr">
        <is>
          <t>待对账 / 待确认 / 数据湖无此指标 / 已确认 / 不需要</t>
        </is>
      </c>
      <c r="N1" s="7" t="inlineStr">
        <is>
          <t>需要业务方或数据方回答的问题；答复写在备注列</t>
        </is>
      </c>
      <c r="O1" s="7" t="n"/>
      <c r="P1" s="7" t="inlineStr">
        <is>
          <t>来自一览表，用于校验</t>
        </is>
      </c>
      <c r="Q1" s="7" t="inlineStr">
        <is>
          <t>由编号自动计算</t>
        </is>
      </c>
      <c r="R1" s="7" t="inlineStr">
        <is>
          <t>同一上级、同一拆解方式下“加/减”项的合计是否等于上级（显示在每组第一行）</t>
        </is>
      </c>
    </row>
    <row r="2" ht="32" customHeight="1">
      <c r="A2" s="8" t="inlineStr">
        <is>
          <t>报表序号</t>
        </is>
      </c>
      <c r="B2" s="8" t="inlineStr">
        <is>
          <t>编号</t>
        </is>
      </c>
      <c r="C2" s="8" t="inlineStr">
        <is>
          <t>类型</t>
        </is>
      </c>
      <c r="D2" s="8" t="inlineStr">
        <is>
          <t>指标名称</t>
        </is>
      </c>
      <c r="E2" s="9" t="inlineStr">
        <is>
          <t>拆解方式</t>
        </is>
      </c>
      <c r="F2" s="9" t="inlineStr">
        <is>
          <t>加/减/其中</t>
        </is>
      </c>
      <c r="G2" s="9" t="inlineStr">
        <is>
          <t>数据湖指标编号</t>
        </is>
      </c>
      <c r="H2" s="8" t="inlineStr">
        <is>
          <t>数据湖指标名称</t>
        </is>
      </c>
      <c r="I2" s="9" t="inlineStr">
        <is>
          <t>计算方式</t>
        </is>
      </c>
      <c r="J2" s="8" t="inlineStr">
        <is>
          <t>单位</t>
        </is>
      </c>
      <c r="K2" s="9" t="inlineStr">
        <is>
          <t>好坏方向</t>
        </is>
      </c>
      <c r="L2" s="9" t="inlineStr">
        <is>
          <t>核心指标</t>
        </is>
      </c>
      <c r="M2" s="10" t="inlineStr">
        <is>
          <t>状态</t>
        </is>
      </c>
      <c r="N2" s="10" t="inlineStr">
        <is>
          <t>需要确认的问题</t>
        </is>
      </c>
      <c r="O2" s="10" t="inlineStr">
        <is>
          <t>备注 / 答复</t>
        </is>
      </c>
      <c r="P2" s="8" t="inlineStr">
        <is>
          <t>报表数值
2026年7月末</t>
        </is>
      </c>
      <c r="Q2" s="8" t="inlineStr">
        <is>
          <t>上级编号</t>
        </is>
      </c>
      <c r="R2" s="8" t="inlineStr">
        <is>
          <t>本组加总校验</t>
        </is>
      </c>
    </row>
    <row r="3">
      <c r="A3" s="11" t="n">
        <v>1</v>
      </c>
      <c r="B3" s="11" t="inlineStr">
        <is>
          <t>1</t>
        </is>
      </c>
      <c r="C3" s="11" t="inlineStr">
        <is>
          <t>指标</t>
        </is>
      </c>
      <c r="D3" s="12" t="inlineStr">
        <is>
          <t>各项存款</t>
        </is>
      </c>
      <c r="E3" s="13" t="n"/>
      <c r="F3" s="14" t="n"/>
      <c r="G3" s="13" t="inlineStr">
        <is>
          <t>ORG_VRS_DEPT_BAL</t>
        </is>
      </c>
      <c r="H3" s="15" t="inlineStr">
        <is>
          <t>各项存款余额</t>
        </is>
      </c>
      <c r="I3" s="13" t="n"/>
      <c r="J3" s="11" t="inlineStr">
        <is>
          <t>亿元</t>
        </is>
      </c>
      <c r="K3" s="13" t="inlineStr">
        <is>
          <t>越大越好</t>
        </is>
      </c>
      <c r="L3" s="14" t="inlineStr">
        <is>
          <t>是</t>
        </is>
      </c>
      <c r="M3" s="16" t="inlineStr">
        <is>
          <t>待确认</t>
        </is>
      </c>
      <c r="N3" s="17" t="inlineStr">
        <is>
          <t>对应“各项存款余额”还是“各项存款余额_银监”（ORG_VRS_DEPT_BAL_CBRC）？对账时两个都比对</t>
        </is>
      </c>
      <c r="O3" s="17" t="n"/>
      <c r="P3" s="18" t="n">
        <v>44389.53</v>
      </c>
      <c r="Q3" s="15">
        <f>IF(B3="","",IFERROR(LEFT(B3,FIND("~",SUBSTITUTE(B3,".","~",LEN(B3)-LEN(SUBSTITUTE(B3,".",""))))-1),""))</f>
        <v/>
      </c>
      <c r="R3" s="15">
        <f>IF(OR(Q3="",AND(F3&lt;&gt;"加",F3&lt;&gt;"减")),"",IF(COUNTIFS($Q$3:Q3,Q3,$E$3:E3,E3,$F$3:F3,"加")+COUNTIFS($Q$3:Q3,Q3,$E$3:E3,E3,$F$3:F3,"减")&gt;1,"",IF(ISNUMBER(INDEX($P$3:$P$32,MATCH(Q3,$B$3:$B$32,0)))=FALSE,"上级无数值",IF(ABS(INDEX($P$3:$P$32,MATCH(Q3,$B$3:$B$32,0))-(SUMIFS($P$3:$P$32,$Q$3:$Q$32,Q3,$E$3:$E$32,E3,$F$3:$F$32,"加")-SUMIFS($P$3:$P$32,$Q$3:$Q$32,Q3,$E$3:$E$32,E3,$F$3:$F$32,"减")))&lt;=MAX(0.05,ABS(INDEX($P$3:$P$32,MATCH(Q3,$B$3:$B$32,0)))*0.0005),"✓ 合计与上级一致","✗ 合计与上级相差 "&amp;TEXT(INDEX($P$3:$P$32,MATCH(Q3,$B$3:$B$32,0))-(SUMIFS($P$3:$P$32,$Q$3:$Q$32,Q3,$E$3:$E$32,E3,$F$3:$F$32,"加")-SUMIFS($P$3:$P$32,$Q$3:$Q$32,Q3,$E$3:$E$32,E3,$F$3:$F$32,"减")),"#,##0.00")))))</f>
        <v/>
      </c>
    </row>
    <row r="4" outlineLevel="1">
      <c r="A4" s="11" t="n">
        <v>2</v>
      </c>
      <c r="B4" s="11" t="inlineStr">
        <is>
          <t>1.1</t>
        </is>
      </c>
      <c r="C4" s="11" t="inlineStr">
        <is>
          <t>指标</t>
        </is>
      </c>
      <c r="D4" s="19" t="inlineStr">
        <is>
          <t>个人存款</t>
        </is>
      </c>
      <c r="E4" s="13" t="inlineStr">
        <is>
          <t>按客户类型</t>
        </is>
      </c>
      <c r="F4" s="14" t="inlineStr">
        <is>
          <t>加</t>
        </is>
      </c>
      <c r="G4" s="13" t="inlineStr">
        <is>
          <t>ORG_PSON_DEPT_BAL</t>
        </is>
      </c>
      <c r="H4" s="15" t="inlineStr">
        <is>
          <t>个人存款余额</t>
        </is>
      </c>
      <c r="I4" s="13" t="n"/>
      <c r="J4" s="11" t="inlineStr">
        <is>
          <t>亿元</t>
        </is>
      </c>
      <c r="K4" s="13" t="inlineStr">
        <is>
          <t>越大越好</t>
        </is>
      </c>
      <c r="L4" s="14" t="inlineStr">
        <is>
          <t>是</t>
        </is>
      </c>
      <c r="M4" s="20" t="inlineStr">
        <is>
          <t>待对账</t>
        </is>
      </c>
      <c r="N4" s="17" t="n"/>
      <c r="O4" s="17" t="n"/>
      <c r="P4" s="18" t="n">
        <v>33238.53</v>
      </c>
      <c r="Q4" s="15">
        <f>IF(B4="","",IFERROR(LEFT(B4,FIND("~",SUBSTITUTE(B4,".","~",LEN(B4)-LEN(SUBSTITUTE(B4,".",""))))-1),""))</f>
        <v/>
      </c>
      <c r="R4" s="15">
        <f>IF(OR(Q4="",AND(F4&lt;&gt;"加",F4&lt;&gt;"减")),"",IF(COUNTIFS($Q$3:Q4,Q4,$E$3:E4,E4,$F$3:F4,"加")+COUNTIFS($Q$3:Q4,Q4,$E$3:E4,E4,$F$3:F4,"减")&gt;1,"",IF(ISNUMBER(INDEX($P$3:$P$32,MATCH(Q4,$B$3:$B$32,0)))=FALSE,"上级无数值",IF(ABS(INDEX($P$3:$P$32,MATCH(Q4,$B$3:$B$32,0))-(SUMIFS($P$3:$P$32,$Q$3:$Q$32,Q4,$E$3:$E$32,E4,$F$3:$F$32,"加")-SUMIFS($P$3:$P$32,$Q$3:$Q$32,Q4,$E$3:$E$32,E4,$F$3:$F$32,"减")))&lt;=MAX(0.05,ABS(INDEX($P$3:$P$32,MATCH(Q4,$B$3:$B$32,0)))*0.0005),"✓ 合计与上级一致","✗ 合计与上级相差 "&amp;TEXT(INDEX($P$3:$P$32,MATCH(Q4,$B$3:$B$32,0))-(SUMIFS($P$3:$P$32,$Q$3:$Q$32,Q4,$E$3:$E$32,E4,$F$3:$F$32,"加")-SUMIFS($P$3:$P$32,$Q$3:$Q$32,Q4,$E$3:$E$32,E4,$F$3:$F$32,"减")),"#,##0.00")))))</f>
        <v/>
      </c>
    </row>
    <row r="5" outlineLevel="2">
      <c r="A5" s="11" t="n">
        <v>3</v>
      </c>
      <c r="B5" s="11" t="n"/>
      <c r="C5" s="11" t="inlineStr">
        <is>
          <t>比率</t>
        </is>
      </c>
      <c r="D5" s="21" t="inlineStr">
        <is>
          <t>个人存款占比</t>
        </is>
      </c>
      <c r="E5" s="13" t="n"/>
      <c r="F5" s="14" t="n"/>
      <c r="G5" s="13" t="inlineStr">
        <is>
          <t>ORG_PSON_DEPT_BAL_PRPR</t>
        </is>
      </c>
      <c r="H5" s="15" t="inlineStr">
        <is>
          <t>个人存款余额占比</t>
        </is>
      </c>
      <c r="I5" s="13" t="inlineStr">
        <is>
          <t>1.1 ÷ 1</t>
        </is>
      </c>
      <c r="J5" s="11" t="inlineStr">
        <is>
          <t>%</t>
        </is>
      </c>
      <c r="K5" s="13" t="inlineStr">
        <is>
          <t>无明显好坏</t>
        </is>
      </c>
      <c r="L5" s="14" t="n"/>
      <c r="M5" s="20" t="inlineStr">
        <is>
          <t>待对账</t>
        </is>
      </c>
      <c r="N5" s="17" t="n"/>
      <c r="O5" s="17" t="inlineStr">
        <is>
          <t>报表值 74.88% = 个人存款 ÷ 各项存款；数据湖现成指标的分母待对账确认</t>
        </is>
      </c>
      <c r="P5" s="22" t="n">
        <v>0.7487921138160279</v>
      </c>
      <c r="Q5" s="15">
        <f>IF(B5="","",IFERROR(LEFT(B5,FIND("~",SUBSTITUTE(B5,".","~",LEN(B5)-LEN(SUBSTITUTE(B5,".",""))))-1),""))</f>
        <v/>
      </c>
      <c r="R5" s="15">
        <f>IF(OR(Q5="",AND(F5&lt;&gt;"加",F5&lt;&gt;"减")),"",IF(COUNTIFS($Q$3:Q5,Q5,$E$3:E5,E5,$F$3:F5,"加")+COUNTIFS($Q$3:Q5,Q5,$E$3:E5,E5,$F$3:F5,"减")&gt;1,"",IF(ISNUMBER(INDEX($P$3:$P$32,MATCH(Q5,$B$3:$B$32,0)))=FALSE,"上级无数值",IF(ABS(INDEX($P$3:$P$32,MATCH(Q5,$B$3:$B$32,0))-(SUMIFS($P$3:$P$32,$Q$3:$Q$32,Q5,$E$3:$E$32,E5,$F$3:$F$32,"加")-SUMIFS($P$3:$P$32,$Q$3:$Q$32,Q5,$E$3:$E$32,E5,$F$3:$F$32,"减")))&lt;=MAX(0.05,ABS(INDEX($P$3:$P$32,MATCH(Q5,$B$3:$B$32,0)))*0.0005),"✓ 合计与上级一致","✗ 合计与上级相差 "&amp;TEXT(INDEX($P$3:$P$32,MATCH(Q5,$B$3:$B$32,0))-(SUMIFS($P$3:$P$32,$Q$3:$Q$32,Q5,$E$3:$E$32,E5,$F$3:$F$32,"加")-SUMIFS($P$3:$P$32,$Q$3:$Q$32,Q5,$E$3:$E$32,E5,$F$3:$F$32,"减")),"#,##0.00")))))</f>
        <v/>
      </c>
    </row>
    <row r="6" outlineLevel="2">
      <c r="A6" s="11" t="n">
        <v>4</v>
      </c>
      <c r="B6" s="11" t="inlineStr">
        <is>
          <t>1.1.1</t>
        </is>
      </c>
      <c r="C6" s="11" t="inlineStr">
        <is>
          <t>指标</t>
        </is>
      </c>
      <c r="D6" s="23" t="inlineStr">
        <is>
          <t>个人活期存款</t>
        </is>
      </c>
      <c r="E6" s="13" t="inlineStr">
        <is>
          <t>按存款类型</t>
        </is>
      </c>
      <c r="F6" s="14" t="inlineStr">
        <is>
          <t>加</t>
        </is>
      </c>
      <c r="G6" s="13" t="inlineStr">
        <is>
          <t>ORG_PSON_DEDMDPT_BAL</t>
        </is>
      </c>
      <c r="H6" s="15" t="inlineStr">
        <is>
          <t>个人活期存款余额</t>
        </is>
      </c>
      <c r="I6" s="13" t="n"/>
      <c r="J6" s="11" t="inlineStr">
        <is>
          <t>亿元</t>
        </is>
      </c>
      <c r="K6" s="13" t="inlineStr">
        <is>
          <t>越大越好</t>
        </is>
      </c>
      <c r="L6" s="14" t="n"/>
      <c r="M6" s="20" t="inlineStr">
        <is>
          <t>待对账</t>
        </is>
      </c>
      <c r="N6" s="17" t="n"/>
      <c r="O6" s="17" t="n"/>
      <c r="P6" s="18" t="n">
        <v>4647.3800563043</v>
      </c>
      <c r="Q6" s="15">
        <f>IF(B6="","",IFERROR(LEFT(B6,FIND("~",SUBSTITUTE(B6,".","~",LEN(B6)-LEN(SUBSTITUTE(B6,".",""))))-1),""))</f>
        <v/>
      </c>
      <c r="R6" s="15">
        <f>IF(OR(Q6="",AND(F6&lt;&gt;"加",F6&lt;&gt;"减")),"",IF(COUNTIFS($Q$3:Q6,Q6,$E$3:E6,E6,$F$3:F6,"加")+COUNTIFS($Q$3:Q6,Q6,$E$3:E6,E6,$F$3:F6,"减")&gt;1,"",IF(ISNUMBER(INDEX($P$3:$P$32,MATCH(Q6,$B$3:$B$32,0)))=FALSE,"上级无数值",IF(ABS(INDEX($P$3:$P$32,MATCH(Q6,$B$3:$B$32,0))-(SUMIFS($P$3:$P$32,$Q$3:$Q$32,Q6,$E$3:$E$32,E6,$F$3:$F$32,"加")-SUMIFS($P$3:$P$32,$Q$3:$Q$32,Q6,$E$3:$E$32,E6,$F$3:$F$32,"减")))&lt;=MAX(0.05,ABS(INDEX($P$3:$P$32,MATCH(Q6,$B$3:$B$32,0)))*0.0005),"✓ 合计与上级一致","✗ 合计与上级相差 "&amp;TEXT(INDEX($P$3:$P$32,MATCH(Q6,$B$3:$B$32,0))-(SUMIFS($P$3:$P$32,$Q$3:$Q$32,Q6,$E$3:$E$32,E6,$F$3:$F$32,"加")-SUMIFS($P$3:$P$32,$Q$3:$Q$32,Q6,$E$3:$E$32,E6,$F$3:$F$32,"减")),"#,##0.00")))))</f>
        <v/>
      </c>
    </row>
    <row r="7" outlineLevel="3">
      <c r="A7" s="11" t="n">
        <v>5</v>
      </c>
      <c r="B7" s="11" t="n"/>
      <c r="C7" s="11" t="inlineStr">
        <is>
          <t>比率</t>
        </is>
      </c>
      <c r="D7" s="24" t="inlineStr">
        <is>
          <t>个人活期存款占个人存款比</t>
        </is>
      </c>
      <c r="E7" s="13" t="n"/>
      <c r="F7" s="14" t="n"/>
      <c r="G7" s="13" t="inlineStr">
        <is>
          <t>ORG_PSON_DEDMDPT_BAL_PRPR</t>
        </is>
      </c>
      <c r="H7" s="15" t="inlineStr">
        <is>
          <t>个人活期存款余额占比</t>
        </is>
      </c>
      <c r="I7" s="13" t="inlineStr">
        <is>
          <t>1.1.1 ÷ 1.1</t>
        </is>
      </c>
      <c r="J7" s="11" t="inlineStr">
        <is>
          <t>%</t>
        </is>
      </c>
      <c r="K7" s="13" t="inlineStr">
        <is>
          <t>无明显好坏</t>
        </is>
      </c>
      <c r="L7" s="14" t="n"/>
      <c r="M7" s="20" t="inlineStr">
        <is>
          <t>待对账</t>
        </is>
      </c>
      <c r="N7" s="17" t="n"/>
      <c r="O7" s="17" t="inlineStr">
        <is>
          <t>报表分母是个人存款；数据湖“个人活期存款余额占比”的分母待对账确认，不一致则改用计算方式</t>
        </is>
      </c>
      <c r="P7" s="22" t="n">
        <v>0.139819061080749</v>
      </c>
      <c r="Q7" s="15">
        <f>IF(B7="","",IFERROR(LEFT(B7,FIND("~",SUBSTITUTE(B7,".","~",LEN(B7)-LEN(SUBSTITUTE(B7,".",""))))-1),""))</f>
        <v/>
      </c>
      <c r="R7" s="15">
        <f>IF(OR(Q7="",AND(F7&lt;&gt;"加",F7&lt;&gt;"减")),"",IF(COUNTIFS($Q$3:Q7,Q7,$E$3:E7,E7,$F$3:F7,"加")+COUNTIFS($Q$3:Q7,Q7,$E$3:E7,E7,$F$3:F7,"减")&gt;1,"",IF(ISNUMBER(INDEX($P$3:$P$32,MATCH(Q7,$B$3:$B$32,0)))=FALSE,"上级无数值",IF(ABS(INDEX($P$3:$P$32,MATCH(Q7,$B$3:$B$32,0))-(SUMIFS($P$3:$P$32,$Q$3:$Q$32,Q7,$E$3:$E$32,E7,$F$3:$F$32,"加")-SUMIFS($P$3:$P$32,$Q$3:$Q$32,Q7,$E$3:$E$32,E7,$F$3:$F$32,"减")))&lt;=MAX(0.05,ABS(INDEX($P$3:$P$32,MATCH(Q7,$B$3:$B$32,0)))*0.0005),"✓ 合计与上级一致","✗ 合计与上级相差 "&amp;TEXT(INDEX($P$3:$P$32,MATCH(Q7,$B$3:$B$32,0))-(SUMIFS($P$3:$P$32,$Q$3:$Q$32,Q7,$E$3:$E$32,E7,$F$3:$F$32,"加")-SUMIFS($P$3:$P$32,$Q$3:$Q$32,Q7,$E$3:$E$32,E7,$F$3:$F$32,"减")),"#,##0.00")))))</f>
        <v/>
      </c>
    </row>
    <row r="8" outlineLevel="2">
      <c r="A8" s="11" t="n">
        <v>6</v>
      </c>
      <c r="B8" s="11" t="inlineStr">
        <is>
          <t>1.1.2</t>
        </is>
      </c>
      <c r="C8" s="11" t="inlineStr">
        <is>
          <t>指标</t>
        </is>
      </c>
      <c r="D8" s="23" t="inlineStr">
        <is>
          <t>个人定期存款</t>
        </is>
      </c>
      <c r="E8" s="13" t="inlineStr">
        <is>
          <t>按存款类型</t>
        </is>
      </c>
      <c r="F8" s="14" t="inlineStr">
        <is>
          <t>加</t>
        </is>
      </c>
      <c r="G8" s="13" t="inlineStr">
        <is>
          <t>ORG_PSON_TMDST_BAL</t>
        </is>
      </c>
      <c r="H8" s="15" t="inlineStr">
        <is>
          <t>个人定期存款余额</t>
        </is>
      </c>
      <c r="I8" s="13" t="n"/>
      <c r="J8" s="11" t="inlineStr">
        <is>
          <t>亿元</t>
        </is>
      </c>
      <c r="K8" s="13" t="inlineStr">
        <is>
          <t>越大越好</t>
        </is>
      </c>
      <c r="L8" s="14" t="n"/>
      <c r="M8" s="20" t="inlineStr">
        <is>
          <t>待对账</t>
        </is>
      </c>
      <c r="N8" s="17" t="n"/>
      <c r="O8" s="17" t="n"/>
      <c r="P8" s="18" t="n">
        <v>28591.1499436957</v>
      </c>
      <c r="Q8" s="15">
        <f>IF(B8="","",IFERROR(LEFT(B8,FIND("~",SUBSTITUTE(B8,".","~",LEN(B8)-LEN(SUBSTITUTE(B8,".",""))))-1),""))</f>
        <v/>
      </c>
      <c r="R8" s="15">
        <f>IF(OR(Q8="",AND(F8&lt;&gt;"加",F8&lt;&gt;"减")),"",IF(COUNTIFS($Q$3:Q8,Q8,$E$3:E8,E8,$F$3:F8,"加")+COUNTIFS($Q$3:Q8,Q8,$E$3:E8,E8,$F$3:F8,"减")&gt;1,"",IF(ISNUMBER(INDEX($P$3:$P$32,MATCH(Q8,$B$3:$B$32,0)))=FALSE,"上级无数值",IF(ABS(INDEX($P$3:$P$32,MATCH(Q8,$B$3:$B$32,0))-(SUMIFS($P$3:$P$32,$Q$3:$Q$32,Q8,$E$3:$E$32,E8,$F$3:$F$32,"加")-SUMIFS($P$3:$P$32,$Q$3:$Q$32,Q8,$E$3:$E$32,E8,$F$3:$F$32,"减")))&lt;=MAX(0.05,ABS(INDEX($P$3:$P$32,MATCH(Q8,$B$3:$B$32,0)))*0.0005),"✓ 合计与上级一致","✗ 合计与上级相差 "&amp;TEXT(INDEX($P$3:$P$32,MATCH(Q8,$B$3:$B$32,0))-(SUMIFS($P$3:$P$32,$Q$3:$Q$32,Q8,$E$3:$E$32,E8,$F$3:$F$32,"加")-SUMIFS($P$3:$P$32,$Q$3:$Q$32,Q8,$E$3:$E$32,E8,$F$3:$F$32,"减")),"#,##0.00")))))</f>
        <v/>
      </c>
    </row>
    <row r="9" outlineLevel="3">
      <c r="A9" s="11" t="n">
        <v>7</v>
      </c>
      <c r="B9" s="11" t="n"/>
      <c r="C9" s="11" t="inlineStr">
        <is>
          <t>比率</t>
        </is>
      </c>
      <c r="D9" s="24" t="inlineStr">
        <is>
          <t>个人定期存款占个人存款比</t>
        </is>
      </c>
      <c r="E9" s="13" t="n"/>
      <c r="F9" s="14" t="n"/>
      <c r="G9" s="13" t="n"/>
      <c r="H9" s="15" t="n"/>
      <c r="I9" s="13" t="inlineStr">
        <is>
          <t>1.1.2 ÷ 1.1</t>
        </is>
      </c>
      <c r="J9" s="11" t="inlineStr">
        <is>
          <t>%</t>
        </is>
      </c>
      <c r="K9" s="13" t="inlineStr">
        <is>
          <t>无明显好坏</t>
        </is>
      </c>
      <c r="L9" s="14" t="n"/>
      <c r="M9" s="20" t="inlineStr">
        <is>
          <t>待对账</t>
        </is>
      </c>
      <c r="N9" s="17" t="n"/>
      <c r="O9" s="17" t="inlineStr">
        <is>
          <t>数据湖无现成指标，按计算方式得出</t>
        </is>
      </c>
      <c r="P9" s="22" t="n">
        <v>0.860180938919251</v>
      </c>
      <c r="Q9" s="15">
        <f>IF(B9="","",IFERROR(LEFT(B9,FIND("~",SUBSTITUTE(B9,".","~",LEN(B9)-LEN(SUBSTITUTE(B9,".",""))))-1),""))</f>
        <v/>
      </c>
      <c r="R9" s="15">
        <f>IF(OR(Q9="",AND(F9&lt;&gt;"加",F9&lt;&gt;"减")),"",IF(COUNTIFS($Q$3:Q9,Q9,$E$3:E9,E9,$F$3:F9,"加")+COUNTIFS($Q$3:Q9,Q9,$E$3:E9,E9,$F$3:F9,"减")&gt;1,"",IF(ISNUMBER(INDEX($P$3:$P$32,MATCH(Q9,$B$3:$B$32,0)))=FALSE,"上级无数值",IF(ABS(INDEX($P$3:$P$32,MATCH(Q9,$B$3:$B$32,0))-(SUMIFS($P$3:$P$32,$Q$3:$Q$32,Q9,$E$3:$E$32,E9,$F$3:$F$32,"加")-SUMIFS($P$3:$P$32,$Q$3:$Q$32,Q9,$E$3:$E$32,E9,$F$3:$F$32,"减")))&lt;=MAX(0.05,ABS(INDEX($P$3:$P$32,MATCH(Q9,$B$3:$B$32,0)))*0.0005),"✓ 合计与上级一致","✗ 合计与上级相差 "&amp;TEXT(INDEX($P$3:$P$32,MATCH(Q9,$B$3:$B$32,0))-(SUMIFS($P$3:$P$32,$Q$3:$Q$32,Q9,$E$3:$E$32,E9,$F$3:$F$32,"加")-SUMIFS($P$3:$P$32,$Q$3:$Q$32,Q9,$E$3:$E$32,E9,$F$3:$F$32,"减")),"#,##0.00")))))</f>
        <v/>
      </c>
    </row>
    <row r="10" outlineLevel="3">
      <c r="A10" s="11" t="n">
        <v>8</v>
      </c>
      <c r="B10" s="11" t="inlineStr">
        <is>
          <t>1.1.2.1</t>
        </is>
      </c>
      <c r="C10" s="11" t="inlineStr">
        <is>
          <t>指标</t>
        </is>
      </c>
      <c r="D10" s="25" t="inlineStr">
        <is>
          <t>一年期及以下</t>
        </is>
      </c>
      <c r="E10" s="13" t="inlineStr">
        <is>
          <t>按存款期限</t>
        </is>
      </c>
      <c r="F10" s="14" t="inlineStr">
        <is>
          <t>加</t>
        </is>
      </c>
      <c r="G10" s="13" t="inlineStr">
        <is>
          <t>A：ORG_PSON_ONEYRTER_BLW_FIXDEP_DEPT_BAL；B：ORG_PSON_ONEYRTER_BLW_CDS_BAL</t>
        </is>
      </c>
      <c r="H10" s="15" t="inlineStr">
        <is>
          <t>A：个人一年期及以下整存整取存款余额；B：个人一年期及以下大额存单余额</t>
        </is>
      </c>
      <c r="I10" s="13" t="inlineStr">
        <is>
          <t>A，或 A + B</t>
        </is>
      </c>
      <c r="J10" s="11" t="inlineStr">
        <is>
          <t>亿元</t>
        </is>
      </c>
      <c r="K10" s="13" t="inlineStr">
        <is>
          <t>越大越好</t>
        </is>
      </c>
      <c r="L10" s="14" t="n"/>
      <c r="M10" s="16" t="inlineStr">
        <is>
          <t>待确认</t>
        </is>
      </c>
      <c r="N10" s="17" t="inlineStr">
        <is>
          <t>只算整存整取（A），还是整存整取 + 大额存单（A + B）？对账可判断</t>
        </is>
      </c>
      <c r="O10" s="17" t="n"/>
      <c r="P10" s="18" t="n">
        <v>7335.93838400519</v>
      </c>
      <c r="Q10" s="15">
        <f>IF(B10="","",IFERROR(LEFT(B10,FIND("~",SUBSTITUTE(B10,".","~",LEN(B10)-LEN(SUBSTITUTE(B10,".",""))))-1),""))</f>
        <v/>
      </c>
      <c r="R10" s="15">
        <f>IF(OR(Q10="",AND(F10&lt;&gt;"加",F10&lt;&gt;"减")),"",IF(COUNTIFS($Q$3:Q10,Q10,$E$3:E10,E10,$F$3:F10,"加")+COUNTIFS($Q$3:Q10,Q10,$E$3:E10,E10,$F$3:F10,"减")&gt;1,"",IF(ISNUMBER(INDEX($P$3:$P$32,MATCH(Q10,$B$3:$B$32,0)))=FALSE,"上级无数值",IF(ABS(INDEX($P$3:$P$32,MATCH(Q10,$B$3:$B$32,0))-(SUMIFS($P$3:$P$32,$Q$3:$Q$32,Q10,$E$3:$E$32,E10,$F$3:$F$32,"加")-SUMIFS($P$3:$P$32,$Q$3:$Q$32,Q10,$E$3:$E$32,E10,$F$3:$F$32,"减")))&lt;=MAX(0.05,ABS(INDEX($P$3:$P$32,MATCH(Q10,$B$3:$B$32,0)))*0.0005),"✓ 合计与上级一致","✗ 合计与上级相差 "&amp;TEXT(INDEX($P$3:$P$32,MATCH(Q10,$B$3:$B$32,0))-(SUMIFS($P$3:$P$32,$Q$3:$Q$32,Q10,$E$3:$E$32,E10,$F$3:$F$32,"加")-SUMIFS($P$3:$P$32,$Q$3:$Q$32,Q10,$E$3:$E$32,E10,$F$3:$F$32,"减")),"#,##0.00")))))</f>
        <v/>
      </c>
    </row>
    <row r="11" outlineLevel="4">
      <c r="A11" s="11" t="n">
        <v>9</v>
      </c>
      <c r="B11" s="11" t="n"/>
      <c r="C11" s="11" t="inlineStr">
        <is>
          <t>比率</t>
        </is>
      </c>
      <c r="D11" s="26" t="inlineStr">
        <is>
          <t>一年期及以下占个人定期比</t>
        </is>
      </c>
      <c r="E11" s="13" t="n"/>
      <c r="F11" s="14" t="n"/>
      <c r="G11" s="13" t="n"/>
      <c r="H11" s="15" t="n"/>
      <c r="I11" s="13" t="inlineStr">
        <is>
          <t>1.1.2.1 ÷ 1.1.2</t>
        </is>
      </c>
      <c r="J11" s="11" t="inlineStr">
        <is>
          <t>%</t>
        </is>
      </c>
      <c r="K11" s="13" t="inlineStr">
        <is>
          <t>无明显好坏</t>
        </is>
      </c>
      <c r="L11" s="14" t="n"/>
      <c r="M11" s="20" t="inlineStr">
        <is>
          <t>待对账</t>
        </is>
      </c>
      <c r="N11" s="17" t="n"/>
      <c r="O11" s="17" t="n"/>
      <c r="P11" s="22" t="n">
        <v>0.256580739090655</v>
      </c>
      <c r="Q11" s="15">
        <f>IF(B11="","",IFERROR(LEFT(B11,FIND("~",SUBSTITUTE(B11,".","~",LEN(B11)-LEN(SUBSTITUTE(B11,".",""))))-1),""))</f>
        <v/>
      </c>
      <c r="R11" s="15">
        <f>IF(OR(Q11="",AND(F11&lt;&gt;"加",F11&lt;&gt;"减")),"",IF(COUNTIFS($Q$3:Q11,Q11,$E$3:E11,E11,$F$3:F11,"加")+COUNTIFS($Q$3:Q11,Q11,$E$3:E11,E11,$F$3:F11,"减")&gt;1,"",IF(ISNUMBER(INDEX($P$3:$P$32,MATCH(Q11,$B$3:$B$32,0)))=FALSE,"上级无数值",IF(ABS(INDEX($P$3:$P$32,MATCH(Q11,$B$3:$B$32,0))-(SUMIFS($P$3:$P$32,$Q$3:$Q$32,Q11,$E$3:$E$32,E11,$F$3:$F$32,"加")-SUMIFS($P$3:$P$32,$Q$3:$Q$32,Q11,$E$3:$E$32,E11,$F$3:$F$32,"减")))&lt;=MAX(0.05,ABS(INDEX($P$3:$P$32,MATCH(Q11,$B$3:$B$32,0)))*0.0005),"✓ 合计与上级一致","✗ 合计与上级相差 "&amp;TEXT(INDEX($P$3:$P$32,MATCH(Q11,$B$3:$B$32,0))-(SUMIFS($P$3:$P$32,$Q$3:$Q$32,Q11,$E$3:$E$32,E11,$F$3:$F$32,"加")-SUMIFS($P$3:$P$32,$Q$3:$Q$32,Q11,$E$3:$E$32,E11,$F$3:$F$32,"减")),"#,##0.00")))))</f>
        <v/>
      </c>
    </row>
    <row r="12" outlineLevel="3">
      <c r="A12" s="11" t="n">
        <v>10</v>
      </c>
      <c r="B12" s="11" t="inlineStr">
        <is>
          <t>1.1.2.2</t>
        </is>
      </c>
      <c r="C12" s="11" t="inlineStr">
        <is>
          <t>指标</t>
        </is>
      </c>
      <c r="D12" s="25" t="inlineStr">
        <is>
          <t>二年期</t>
        </is>
      </c>
      <c r="E12" s="13" t="inlineStr">
        <is>
          <t>按存款期限</t>
        </is>
      </c>
      <c r="F12" s="14" t="inlineStr">
        <is>
          <t>加</t>
        </is>
      </c>
      <c r="G12" s="13" t="inlineStr">
        <is>
          <t>ORG_PSON_Y2_TMDST_BAL</t>
        </is>
      </c>
      <c r="H12" s="15" t="inlineStr">
        <is>
          <t>个人两年定期存款余额</t>
        </is>
      </c>
      <c r="I12" s="13" t="n"/>
      <c r="J12" s="11" t="inlineStr">
        <is>
          <t>亿元</t>
        </is>
      </c>
      <c r="K12" s="13" t="inlineStr">
        <is>
          <t>越大越好</t>
        </is>
      </c>
      <c r="L12" s="14" t="n"/>
      <c r="M12" s="20" t="inlineStr">
        <is>
          <t>待对账</t>
        </is>
      </c>
      <c r="N12" s="17" t="n"/>
      <c r="O12" s="17" t="inlineStr">
        <is>
          <t>备选：两年期整存整取 ORG_PSON_Y2_FIXDEP_DEPT_BAL + 两年期大额存单 ORG_PSON_Y2_CDS_BAL</t>
        </is>
      </c>
      <c r="P12" s="18" t="n">
        <v>3611.29531880035</v>
      </c>
      <c r="Q12" s="15">
        <f>IF(B12="","",IFERROR(LEFT(B12,FIND("~",SUBSTITUTE(B12,".","~",LEN(B12)-LEN(SUBSTITUTE(B12,".",""))))-1),""))</f>
        <v/>
      </c>
      <c r="R12" s="15">
        <f>IF(OR(Q12="",AND(F12&lt;&gt;"加",F12&lt;&gt;"减")),"",IF(COUNTIFS($Q$3:Q12,Q12,$E$3:E12,E12,$F$3:F12,"加")+COUNTIFS($Q$3:Q12,Q12,$E$3:E12,E12,$F$3:F12,"减")&gt;1,"",IF(ISNUMBER(INDEX($P$3:$P$32,MATCH(Q12,$B$3:$B$32,0)))=FALSE,"上级无数值",IF(ABS(INDEX($P$3:$P$32,MATCH(Q12,$B$3:$B$32,0))-(SUMIFS($P$3:$P$32,$Q$3:$Q$32,Q12,$E$3:$E$32,E12,$F$3:$F$32,"加")-SUMIFS($P$3:$P$32,$Q$3:$Q$32,Q12,$E$3:$E$32,E12,$F$3:$F$32,"减")))&lt;=MAX(0.05,ABS(INDEX($P$3:$P$32,MATCH(Q12,$B$3:$B$32,0)))*0.0005),"✓ 合计与上级一致","✗ 合计与上级相差 "&amp;TEXT(INDEX($P$3:$P$32,MATCH(Q12,$B$3:$B$32,0))-(SUMIFS($P$3:$P$32,$Q$3:$Q$32,Q12,$E$3:$E$32,E12,$F$3:$F$32,"加")-SUMIFS($P$3:$P$32,$Q$3:$Q$32,Q12,$E$3:$E$32,E12,$F$3:$F$32,"减")),"#,##0.00")))))</f>
        <v/>
      </c>
    </row>
    <row r="13" outlineLevel="4">
      <c r="A13" s="11" t="n">
        <v>11</v>
      </c>
      <c r="B13" s="11" t="n"/>
      <c r="C13" s="11" t="inlineStr">
        <is>
          <t>比率</t>
        </is>
      </c>
      <c r="D13" s="26" t="inlineStr">
        <is>
          <t>二年期占个人定期比</t>
        </is>
      </c>
      <c r="E13" s="13" t="n"/>
      <c r="F13" s="14" t="n"/>
      <c r="G13" s="13" t="n"/>
      <c r="H13" s="15" t="n"/>
      <c r="I13" s="13" t="inlineStr">
        <is>
          <t>1.1.2.2 ÷ 1.1.2</t>
        </is>
      </c>
      <c r="J13" s="11" t="inlineStr">
        <is>
          <t>%</t>
        </is>
      </c>
      <c r="K13" s="13" t="inlineStr">
        <is>
          <t>无明显好坏</t>
        </is>
      </c>
      <c r="L13" s="14" t="n"/>
      <c r="M13" s="20" t="inlineStr">
        <is>
          <t>待对账</t>
        </is>
      </c>
      <c r="N13" s="17" t="n"/>
      <c r="O13" s="17" t="n"/>
      <c r="P13" s="22" t="n">
        <v>0.126308152204862</v>
      </c>
      <c r="Q13" s="15">
        <f>IF(B13="","",IFERROR(LEFT(B13,FIND("~",SUBSTITUTE(B13,".","~",LEN(B13)-LEN(SUBSTITUTE(B13,".",""))))-1),""))</f>
        <v/>
      </c>
      <c r="R13" s="15">
        <f>IF(OR(Q13="",AND(F13&lt;&gt;"加",F13&lt;&gt;"减")),"",IF(COUNTIFS($Q$3:Q13,Q13,$E$3:E13,E13,$F$3:F13,"加")+COUNTIFS($Q$3:Q13,Q13,$E$3:E13,E13,$F$3:F13,"减")&gt;1,"",IF(ISNUMBER(INDEX($P$3:$P$32,MATCH(Q13,$B$3:$B$32,0)))=FALSE,"上级无数值",IF(ABS(INDEX($P$3:$P$32,MATCH(Q13,$B$3:$B$32,0))-(SUMIFS($P$3:$P$32,$Q$3:$Q$32,Q13,$E$3:$E$32,E13,$F$3:$F$32,"加")-SUMIFS($P$3:$P$32,$Q$3:$Q$32,Q13,$E$3:$E$32,E13,$F$3:$F$32,"减")))&lt;=MAX(0.05,ABS(INDEX($P$3:$P$32,MATCH(Q13,$B$3:$B$32,0)))*0.0005),"✓ 合计与上级一致","✗ 合计与上级相差 "&amp;TEXT(INDEX($P$3:$P$32,MATCH(Q13,$B$3:$B$32,0))-(SUMIFS($P$3:$P$32,$Q$3:$Q$32,Q13,$E$3:$E$32,E13,$F$3:$F$32,"加")-SUMIFS($P$3:$P$32,$Q$3:$Q$32,Q13,$E$3:$E$32,E13,$F$3:$F$32,"减")),"#,##0.00")))))</f>
        <v/>
      </c>
    </row>
    <row r="14" outlineLevel="3">
      <c r="A14" s="11" t="n">
        <v>12</v>
      </c>
      <c r="B14" s="11" t="inlineStr">
        <is>
          <t>1.1.2.3</t>
        </is>
      </c>
      <c r="C14" s="11" t="inlineStr">
        <is>
          <t>指标</t>
        </is>
      </c>
      <c r="D14" s="25" t="inlineStr">
        <is>
          <t>三年期</t>
        </is>
      </c>
      <c r="E14" s="13" t="inlineStr">
        <is>
          <t>按存款期限</t>
        </is>
      </c>
      <c r="F14" s="14" t="inlineStr">
        <is>
          <t>加</t>
        </is>
      </c>
      <c r="G14" s="13" t="inlineStr">
        <is>
          <t>ORG_PSON_Y3_TMDST_BAL</t>
        </is>
      </c>
      <c r="H14" s="15" t="inlineStr">
        <is>
          <t>个人三年定期存款余额</t>
        </is>
      </c>
      <c r="I14" s="13" t="n"/>
      <c r="J14" s="11" t="inlineStr">
        <is>
          <t>亿元</t>
        </is>
      </c>
      <c r="K14" s="13" t="inlineStr">
        <is>
          <t>越大越好</t>
        </is>
      </c>
      <c r="L14" s="14" t="n"/>
      <c r="M14" s="20" t="inlineStr">
        <is>
          <t>待对账</t>
        </is>
      </c>
      <c r="N14" s="17" t="n"/>
      <c r="O14" s="17" t="inlineStr">
        <is>
          <t>备选：三年期整存整取 ORG_PSON_THRYRTEM_FIXDEP_DEPT_BAL + 三年期大额存单 ORG_PSON_THRYRTEM_CDS_BAL</t>
        </is>
      </c>
      <c r="P14" s="18" t="n">
        <v>15018.5399791689</v>
      </c>
      <c r="Q14" s="15">
        <f>IF(B14="","",IFERROR(LEFT(B14,FIND("~",SUBSTITUTE(B14,".","~",LEN(B14)-LEN(SUBSTITUTE(B14,".",""))))-1),""))</f>
        <v/>
      </c>
      <c r="R14" s="15">
        <f>IF(OR(Q14="",AND(F14&lt;&gt;"加",F14&lt;&gt;"减")),"",IF(COUNTIFS($Q$3:Q14,Q14,$E$3:E14,E14,$F$3:F14,"加")+COUNTIFS($Q$3:Q14,Q14,$E$3:E14,E14,$F$3:F14,"减")&gt;1,"",IF(ISNUMBER(INDEX($P$3:$P$32,MATCH(Q14,$B$3:$B$32,0)))=FALSE,"上级无数值",IF(ABS(INDEX($P$3:$P$32,MATCH(Q14,$B$3:$B$32,0))-(SUMIFS($P$3:$P$32,$Q$3:$Q$32,Q14,$E$3:$E$32,E14,$F$3:$F$32,"加")-SUMIFS($P$3:$P$32,$Q$3:$Q$32,Q14,$E$3:$E$32,E14,$F$3:$F$32,"减")))&lt;=MAX(0.05,ABS(INDEX($P$3:$P$32,MATCH(Q14,$B$3:$B$32,0)))*0.0005),"✓ 合计与上级一致","✗ 合计与上级相差 "&amp;TEXT(INDEX($P$3:$P$32,MATCH(Q14,$B$3:$B$32,0))-(SUMIFS($P$3:$P$32,$Q$3:$Q$32,Q14,$E$3:$E$32,E14,$F$3:$F$32,"加")-SUMIFS($P$3:$P$32,$Q$3:$Q$32,Q14,$E$3:$E$32,E14,$F$3:$F$32,"减")),"#,##0.00")))))</f>
        <v/>
      </c>
    </row>
    <row r="15" outlineLevel="4">
      <c r="A15" s="11" t="n">
        <v>13</v>
      </c>
      <c r="B15" s="11" t="n"/>
      <c r="C15" s="11" t="inlineStr">
        <is>
          <t>比率</t>
        </is>
      </c>
      <c r="D15" s="26" t="inlineStr">
        <is>
          <t>三年期占个人定期比</t>
        </is>
      </c>
      <c r="E15" s="13" t="n"/>
      <c r="F15" s="14" t="n"/>
      <c r="G15" s="13" t="n"/>
      <c r="H15" s="15" t="n"/>
      <c r="I15" s="13" t="inlineStr">
        <is>
          <t>1.1.2.3 ÷ 1.1.2</t>
        </is>
      </c>
      <c r="J15" s="11" t="inlineStr">
        <is>
          <t>%</t>
        </is>
      </c>
      <c r="K15" s="13" t="inlineStr">
        <is>
          <t>无明显好坏</t>
        </is>
      </c>
      <c r="L15" s="14" t="n"/>
      <c r="M15" s="20" t="inlineStr">
        <is>
          <t>待对账</t>
        </is>
      </c>
      <c r="N15" s="17" t="n"/>
      <c r="O15" s="17" t="n"/>
      <c r="P15" s="22" t="n">
        <v>0.525286321422705</v>
      </c>
      <c r="Q15" s="15">
        <f>IF(B15="","",IFERROR(LEFT(B15,FIND("~",SUBSTITUTE(B15,".","~",LEN(B15)-LEN(SUBSTITUTE(B15,".",""))))-1),""))</f>
        <v/>
      </c>
      <c r="R15" s="15">
        <f>IF(OR(Q15="",AND(F15&lt;&gt;"加",F15&lt;&gt;"减")),"",IF(COUNTIFS($Q$3:Q15,Q15,$E$3:E15,E15,$F$3:F15,"加")+COUNTIFS($Q$3:Q15,Q15,$E$3:E15,E15,$F$3:F15,"减")&gt;1,"",IF(ISNUMBER(INDEX($P$3:$P$32,MATCH(Q15,$B$3:$B$32,0)))=FALSE,"上级无数值",IF(ABS(INDEX($P$3:$P$32,MATCH(Q15,$B$3:$B$32,0))-(SUMIFS($P$3:$P$32,$Q$3:$Q$32,Q15,$E$3:$E$32,E15,$F$3:$F$32,"加")-SUMIFS($P$3:$P$32,$Q$3:$Q$32,Q15,$E$3:$E$32,E15,$F$3:$F$32,"减")))&lt;=MAX(0.05,ABS(INDEX($P$3:$P$32,MATCH(Q15,$B$3:$B$32,0)))*0.0005),"✓ 合计与上级一致","✗ 合计与上级相差 "&amp;TEXT(INDEX($P$3:$P$32,MATCH(Q15,$B$3:$B$32,0))-(SUMIFS($P$3:$P$32,$Q$3:$Q$32,Q15,$E$3:$E$32,E15,$F$3:$F$32,"加")-SUMIFS($P$3:$P$32,$Q$3:$Q$32,Q15,$E$3:$E$32,E15,$F$3:$F$32,"减")),"#,##0.00")))))</f>
        <v/>
      </c>
    </row>
    <row r="16" outlineLevel="3">
      <c r="A16" s="11" t="n">
        <v>14</v>
      </c>
      <c r="B16" s="11" t="inlineStr">
        <is>
          <t>1.1.2.4</t>
        </is>
      </c>
      <c r="C16" s="11" t="inlineStr">
        <is>
          <t>指标</t>
        </is>
      </c>
      <c r="D16" s="25" t="inlineStr">
        <is>
          <t>五年期</t>
        </is>
      </c>
      <c r="E16" s="13" t="inlineStr">
        <is>
          <t>按存款期限</t>
        </is>
      </c>
      <c r="F16" s="14" t="inlineStr">
        <is>
          <t>加</t>
        </is>
      </c>
      <c r="G16" s="13" t="inlineStr">
        <is>
          <t>A：ORG_PSON_FIVE_PRD_FIXDEP_DEPT_BAL；B：ORG_PSON_FIVE_PRD_CDS_BAL</t>
        </is>
      </c>
      <c r="H16" s="15" t="inlineStr">
        <is>
          <t>A：个人五年期整存整取存款余额；B：个人五年期大额存单余额</t>
        </is>
      </c>
      <c r="I16" s="13" t="inlineStr">
        <is>
          <t>A，或 A + B</t>
        </is>
      </c>
      <c r="J16" s="11" t="inlineStr">
        <is>
          <t>亿元</t>
        </is>
      </c>
      <c r="K16" s="13" t="inlineStr">
        <is>
          <t>越大越好</t>
        </is>
      </c>
      <c r="L16" s="14" t="n"/>
      <c r="M16" s="16" t="inlineStr">
        <is>
          <t>待确认</t>
        </is>
      </c>
      <c r="N16" s="17" t="inlineStr">
        <is>
          <t>只算整存整取（A），还是整存整取 + 大额存单（A + B）？对账可判断</t>
        </is>
      </c>
      <c r="O16" s="17" t="n"/>
      <c r="P16" s="18" t="n">
        <v>473.5266682096</v>
      </c>
      <c r="Q16" s="15">
        <f>IF(B16="","",IFERROR(LEFT(B16,FIND("~",SUBSTITUTE(B16,".","~",LEN(B16)-LEN(SUBSTITUTE(B16,".",""))))-1),""))</f>
        <v/>
      </c>
      <c r="R16" s="15">
        <f>IF(OR(Q16="",AND(F16&lt;&gt;"加",F16&lt;&gt;"减")),"",IF(COUNTIFS($Q$3:Q16,Q16,$E$3:E16,E16,$F$3:F16,"加")+COUNTIFS($Q$3:Q16,Q16,$E$3:E16,E16,$F$3:F16,"减")&gt;1,"",IF(ISNUMBER(INDEX($P$3:$P$32,MATCH(Q16,$B$3:$B$32,0)))=FALSE,"上级无数值",IF(ABS(INDEX($P$3:$P$32,MATCH(Q16,$B$3:$B$32,0))-(SUMIFS($P$3:$P$32,$Q$3:$Q$32,Q16,$E$3:$E$32,E16,$F$3:$F$32,"加")-SUMIFS($P$3:$P$32,$Q$3:$Q$32,Q16,$E$3:$E$32,E16,$F$3:$F$32,"减")))&lt;=MAX(0.05,ABS(INDEX($P$3:$P$32,MATCH(Q16,$B$3:$B$32,0)))*0.0005),"✓ 合计与上级一致","✗ 合计与上级相差 "&amp;TEXT(INDEX($P$3:$P$32,MATCH(Q16,$B$3:$B$32,0))-(SUMIFS($P$3:$P$32,$Q$3:$Q$32,Q16,$E$3:$E$32,E16,$F$3:$F$32,"加")-SUMIFS($P$3:$P$32,$Q$3:$Q$32,Q16,$E$3:$E$32,E16,$F$3:$F$32,"减")),"#,##0.00")))))</f>
        <v/>
      </c>
    </row>
    <row r="17" outlineLevel="4">
      <c r="A17" s="11" t="n">
        <v>15</v>
      </c>
      <c r="B17" s="11" t="n"/>
      <c r="C17" s="11" t="inlineStr">
        <is>
          <t>比率</t>
        </is>
      </c>
      <c r="D17" s="26" t="inlineStr">
        <is>
          <t>五年期占个人定期比</t>
        </is>
      </c>
      <c r="E17" s="13" t="n"/>
      <c r="F17" s="14" t="n"/>
      <c r="G17" s="13" t="n"/>
      <c r="H17" s="15" t="n"/>
      <c r="I17" s="13" t="inlineStr">
        <is>
          <t>1.1.2.4 ÷ 1.1.2</t>
        </is>
      </c>
      <c r="J17" s="11" t="inlineStr">
        <is>
          <t>%</t>
        </is>
      </c>
      <c r="K17" s="13" t="inlineStr">
        <is>
          <t>无明显好坏</t>
        </is>
      </c>
      <c r="L17" s="14" t="n"/>
      <c r="M17" s="20" t="inlineStr">
        <is>
          <t>待对账</t>
        </is>
      </c>
      <c r="N17" s="17" t="n"/>
      <c r="O17" s="17" t="n"/>
      <c r="P17" s="22" t="n">
        <v>0.0165620014984396</v>
      </c>
      <c r="Q17" s="15">
        <f>IF(B17="","",IFERROR(LEFT(B17,FIND("~",SUBSTITUTE(B17,".","~",LEN(B17)-LEN(SUBSTITUTE(B17,".",""))))-1),""))</f>
        <v/>
      </c>
      <c r="R17" s="15">
        <f>IF(OR(Q17="",AND(F17&lt;&gt;"加",F17&lt;&gt;"减")),"",IF(COUNTIFS($Q$3:Q17,Q17,$E$3:E17,E17,$F$3:F17,"加")+COUNTIFS($Q$3:Q17,Q17,$E$3:E17,E17,$F$3:F17,"减")&gt;1,"",IF(ISNUMBER(INDEX($P$3:$P$32,MATCH(Q17,$B$3:$B$32,0)))=FALSE,"上级无数值",IF(ABS(INDEX($P$3:$P$32,MATCH(Q17,$B$3:$B$32,0))-(SUMIFS($P$3:$P$32,$Q$3:$Q$32,Q17,$E$3:$E$32,E17,$F$3:$F$32,"加")-SUMIFS($P$3:$P$32,$Q$3:$Q$32,Q17,$E$3:$E$32,E17,$F$3:$F$32,"减")))&lt;=MAX(0.05,ABS(INDEX($P$3:$P$32,MATCH(Q17,$B$3:$B$32,0)))*0.0005),"✓ 合计与上级一致","✗ 合计与上级相差 "&amp;TEXT(INDEX($P$3:$P$32,MATCH(Q17,$B$3:$B$32,0))-(SUMIFS($P$3:$P$32,$Q$3:$Q$32,Q17,$E$3:$E$32,E17,$F$3:$F$32,"加")-SUMIFS($P$3:$P$32,$Q$3:$Q$32,Q17,$E$3:$E$32,E17,$F$3:$F$32,"减")),"#,##0.00")))))</f>
        <v/>
      </c>
    </row>
    <row r="18" outlineLevel="3">
      <c r="A18" s="11" t="n"/>
      <c r="B18" s="11" t="inlineStr">
        <is>
          <t>1.1.2.5</t>
        </is>
      </c>
      <c r="C18" s="11" t="inlineStr">
        <is>
          <t>指标</t>
        </is>
      </c>
      <c r="D18" s="25" t="inlineStr">
        <is>
          <t>其他期限（建议补充）</t>
        </is>
      </c>
      <c r="E18" s="13" t="inlineStr">
        <is>
          <t>按存款期限</t>
        </is>
      </c>
      <c r="F18" s="14" t="n"/>
      <c r="G18" s="13" t="inlineStr">
        <is>
          <t>ORG_PSON_OTR_TMDST_BAL</t>
        </is>
      </c>
      <c r="H18" s="15" t="inlineStr">
        <is>
          <t>个人其他定期存款余额</t>
        </is>
      </c>
      <c r="I18" s="13" t="n"/>
      <c r="J18" s="11" t="inlineStr">
        <is>
          <t>亿元</t>
        </is>
      </c>
      <c r="K18" s="13" t="inlineStr">
        <is>
          <t>越大越好</t>
        </is>
      </c>
      <c r="L18" s="14" t="n"/>
      <c r="M18" s="16" t="inlineStr">
        <is>
          <t>待确认</t>
        </is>
      </c>
      <c r="N18" s="17" t="inlineStr">
        <is>
          <t>报表四个期限合计比个人定期存款少 2,151.85 亿元，是否就是“个人其他定期存款”？确认后把“加/减”改为“加”</t>
        </is>
      </c>
      <c r="O18" s="17" t="inlineStr">
        <is>
          <t>报表未列示；数据湖有“个人其他定期存款余额”</t>
        </is>
      </c>
      <c r="P18" s="18" t="n"/>
      <c r="Q18" s="15">
        <f>IF(B18="","",IFERROR(LEFT(B18,FIND("~",SUBSTITUTE(B18,".","~",LEN(B18)-LEN(SUBSTITUTE(B18,".",""))))-1),""))</f>
        <v/>
      </c>
      <c r="R18" s="15">
        <f>IF(OR(Q18="",AND(F18&lt;&gt;"加",F18&lt;&gt;"减")),"",IF(COUNTIFS($Q$3:Q18,Q18,$E$3:E18,E18,$F$3:F18,"加")+COUNTIFS($Q$3:Q18,Q18,$E$3:E18,E18,$F$3:F18,"减")&gt;1,"",IF(ISNUMBER(INDEX($P$3:$P$32,MATCH(Q18,$B$3:$B$32,0)))=FALSE,"上级无数值",IF(ABS(INDEX($P$3:$P$32,MATCH(Q18,$B$3:$B$32,0))-(SUMIFS($P$3:$P$32,$Q$3:$Q$32,Q18,$E$3:$E$32,E18,$F$3:$F$32,"加")-SUMIFS($P$3:$P$32,$Q$3:$Q$32,Q18,$E$3:$E$32,E18,$F$3:$F$32,"减")))&lt;=MAX(0.05,ABS(INDEX($P$3:$P$32,MATCH(Q18,$B$3:$B$32,0)))*0.0005),"✓ 合计与上级一致","✗ 合计与上级相差 "&amp;TEXT(INDEX($P$3:$P$32,MATCH(Q18,$B$3:$B$32,0))-(SUMIFS($P$3:$P$32,$Q$3:$Q$32,Q18,$E$3:$E$32,E18,$F$3:$F$32,"加")-SUMIFS($P$3:$P$32,$Q$3:$Q$32,Q18,$E$3:$E$32,E18,$F$3:$F$32,"减")),"#,##0.00")))))</f>
        <v/>
      </c>
    </row>
    <row r="19" outlineLevel="1">
      <c r="A19" s="11" t="n">
        <v>16</v>
      </c>
      <c r="B19" s="11" t="inlineStr">
        <is>
          <t>1.2</t>
        </is>
      </c>
      <c r="C19" s="11" t="inlineStr">
        <is>
          <t>指标</t>
        </is>
      </c>
      <c r="D19" s="19" t="inlineStr">
        <is>
          <t>对公存款</t>
        </is>
      </c>
      <c r="E19" s="13" t="inlineStr">
        <is>
          <t>按客户类型</t>
        </is>
      </c>
      <c r="F19" s="14" t="inlineStr">
        <is>
          <t>加</t>
        </is>
      </c>
      <c r="G19" s="13" t="inlineStr">
        <is>
          <t>ORG_CORP_DEPT_BAL</t>
        </is>
      </c>
      <c r="H19" s="15" t="inlineStr">
        <is>
          <t>对公存款余额</t>
        </is>
      </c>
      <c r="I19" s="13" t="n"/>
      <c r="J19" s="11" t="inlineStr">
        <is>
          <t>亿元</t>
        </is>
      </c>
      <c r="K19" s="13" t="inlineStr">
        <is>
          <t>越大越好</t>
        </is>
      </c>
      <c r="L19" s="14" t="inlineStr">
        <is>
          <t>是</t>
        </is>
      </c>
      <c r="M19" s="20" t="inlineStr">
        <is>
          <t>待对账</t>
        </is>
      </c>
      <c r="N19" s="17" t="n"/>
      <c r="O19" s="17" t="n"/>
      <c r="P19" s="18" t="n">
        <v>11151</v>
      </c>
      <c r="Q19" s="15">
        <f>IF(B19="","",IFERROR(LEFT(B19,FIND("~",SUBSTITUTE(B19,".","~",LEN(B19)-LEN(SUBSTITUTE(B19,".",""))))-1),""))</f>
        <v/>
      </c>
      <c r="R19" s="15">
        <f>IF(OR(Q19="",AND(F19&lt;&gt;"加",F19&lt;&gt;"减")),"",IF(COUNTIFS($Q$3:Q19,Q19,$E$3:E19,E19,$F$3:F19,"加")+COUNTIFS($Q$3:Q19,Q19,$E$3:E19,E19,$F$3:F19,"减")&gt;1,"",IF(ISNUMBER(INDEX($P$3:$P$32,MATCH(Q19,$B$3:$B$32,0)))=FALSE,"上级无数值",IF(ABS(INDEX($P$3:$P$32,MATCH(Q19,$B$3:$B$32,0))-(SUMIFS($P$3:$P$32,$Q$3:$Q$32,Q19,$E$3:$E$32,E19,$F$3:$F$32,"加")-SUMIFS($P$3:$P$32,$Q$3:$Q$32,Q19,$E$3:$E$32,E19,$F$3:$F$32,"减")))&lt;=MAX(0.05,ABS(INDEX($P$3:$P$32,MATCH(Q19,$B$3:$B$32,0)))*0.0005),"✓ 合计与上级一致","✗ 合计与上级相差 "&amp;TEXT(INDEX($P$3:$P$32,MATCH(Q19,$B$3:$B$32,0))-(SUMIFS($P$3:$P$32,$Q$3:$Q$32,Q19,$E$3:$E$32,E19,$F$3:$F$32,"加")-SUMIFS($P$3:$P$32,$Q$3:$Q$32,Q19,$E$3:$E$32,E19,$F$3:$F$32,"减")),"#,##0.00")))))</f>
        <v/>
      </c>
    </row>
    <row r="20" outlineLevel="2">
      <c r="A20" s="11" t="n">
        <v>17</v>
      </c>
      <c r="B20" s="11" t="n"/>
      <c r="C20" s="11" t="inlineStr">
        <is>
          <t>比率</t>
        </is>
      </c>
      <c r="D20" s="21" t="inlineStr">
        <is>
          <t>对公存款占比</t>
        </is>
      </c>
      <c r="E20" s="13" t="n"/>
      <c r="F20" s="14" t="n"/>
      <c r="G20" s="13" t="inlineStr">
        <is>
          <t>ORG_CORP_DEPT_BAL_PRPR</t>
        </is>
      </c>
      <c r="H20" s="15" t="inlineStr">
        <is>
          <t>对公存款余额占比</t>
        </is>
      </c>
      <c r="I20" s="13" t="inlineStr">
        <is>
          <t>1.2 ÷ 1</t>
        </is>
      </c>
      <c r="J20" s="11" t="inlineStr">
        <is>
          <t>%</t>
        </is>
      </c>
      <c r="K20" s="13" t="inlineStr">
        <is>
          <t>无明显好坏</t>
        </is>
      </c>
      <c r="L20" s="14" t="n"/>
      <c r="M20" s="20" t="inlineStr">
        <is>
          <t>待对账</t>
        </is>
      </c>
      <c r="N20" s="17" t="n"/>
      <c r="O20" s="17" t="n"/>
      <c r="P20" s="22" t="n">
        <v>0.251207886183972</v>
      </c>
      <c r="Q20" s="15">
        <f>IF(B20="","",IFERROR(LEFT(B20,FIND("~",SUBSTITUTE(B20,".","~",LEN(B20)-LEN(SUBSTITUTE(B20,".",""))))-1),""))</f>
        <v/>
      </c>
      <c r="R20" s="15">
        <f>IF(OR(Q20="",AND(F20&lt;&gt;"加",F20&lt;&gt;"减")),"",IF(COUNTIFS($Q$3:Q20,Q20,$E$3:E20,E20,$F$3:F20,"加")+COUNTIFS($Q$3:Q20,Q20,$E$3:E20,E20,$F$3:F20,"减")&gt;1,"",IF(ISNUMBER(INDEX($P$3:$P$32,MATCH(Q20,$B$3:$B$32,0)))=FALSE,"上级无数值",IF(ABS(INDEX($P$3:$P$32,MATCH(Q20,$B$3:$B$32,0))-(SUMIFS($P$3:$P$32,$Q$3:$Q$32,Q20,$E$3:$E$32,E20,$F$3:$F$32,"加")-SUMIFS($P$3:$P$32,$Q$3:$Q$32,Q20,$E$3:$E$32,E20,$F$3:$F$32,"减")))&lt;=MAX(0.05,ABS(INDEX($P$3:$P$32,MATCH(Q20,$B$3:$B$32,0)))*0.0005),"✓ 合计与上级一致","✗ 合计与上级相差 "&amp;TEXT(INDEX($P$3:$P$32,MATCH(Q20,$B$3:$B$32,0))-(SUMIFS($P$3:$P$32,$Q$3:$Q$32,Q20,$E$3:$E$32,E20,$F$3:$F$32,"加")-SUMIFS($P$3:$P$32,$Q$3:$Q$32,Q20,$E$3:$E$32,E20,$F$3:$F$32,"减")),"#,##0.00")))))</f>
        <v/>
      </c>
    </row>
    <row r="21" outlineLevel="2">
      <c r="A21" s="11" t="n">
        <v>18</v>
      </c>
      <c r="B21" s="11" t="inlineStr">
        <is>
          <t>1.2.1</t>
        </is>
      </c>
      <c r="C21" s="11" t="inlineStr">
        <is>
          <t>指标</t>
        </is>
      </c>
      <c r="D21" s="23" t="inlineStr">
        <is>
          <t>对公活期存款</t>
        </is>
      </c>
      <c r="E21" s="13" t="inlineStr">
        <is>
          <t>按存款类型</t>
        </is>
      </c>
      <c r="F21" s="14" t="inlineStr">
        <is>
          <t>加</t>
        </is>
      </c>
      <c r="G21" s="13" t="inlineStr">
        <is>
          <t>ORG_CORP_DEDMDPT_BAL</t>
        </is>
      </c>
      <c r="H21" s="15" t="inlineStr">
        <is>
          <t>对公活期存款余额</t>
        </is>
      </c>
      <c r="I21" s="13" t="n"/>
      <c r="J21" s="11" t="inlineStr">
        <is>
          <t>亿元</t>
        </is>
      </c>
      <c r="K21" s="13" t="inlineStr">
        <is>
          <t>越大越好</t>
        </is>
      </c>
      <c r="L21" s="14" t="n"/>
      <c r="M21" s="20" t="inlineStr">
        <is>
          <t>待对账</t>
        </is>
      </c>
      <c r="N21" s="17" t="n"/>
      <c r="O21" s="17" t="n"/>
      <c r="P21" s="18" t="n">
        <v>3669.21</v>
      </c>
      <c r="Q21" s="15">
        <f>IF(B21="","",IFERROR(LEFT(B21,FIND("~",SUBSTITUTE(B21,".","~",LEN(B21)-LEN(SUBSTITUTE(B21,".",""))))-1),""))</f>
        <v/>
      </c>
      <c r="R21" s="15">
        <f>IF(OR(Q21="",AND(F21&lt;&gt;"加",F21&lt;&gt;"减")),"",IF(COUNTIFS($Q$3:Q21,Q21,$E$3:E21,E21,$F$3:F21,"加")+COUNTIFS($Q$3:Q21,Q21,$E$3:E21,E21,$F$3:F21,"减")&gt;1,"",IF(ISNUMBER(INDEX($P$3:$P$32,MATCH(Q21,$B$3:$B$32,0)))=FALSE,"上级无数值",IF(ABS(INDEX($P$3:$P$32,MATCH(Q21,$B$3:$B$32,0))-(SUMIFS($P$3:$P$32,$Q$3:$Q$32,Q21,$E$3:$E$32,E21,$F$3:$F$32,"加")-SUMIFS($P$3:$P$32,$Q$3:$Q$32,Q21,$E$3:$E$32,E21,$F$3:$F$32,"减")))&lt;=MAX(0.05,ABS(INDEX($P$3:$P$32,MATCH(Q21,$B$3:$B$32,0)))*0.0005),"✓ 合计与上级一致","✗ 合计与上级相差 "&amp;TEXT(INDEX($P$3:$P$32,MATCH(Q21,$B$3:$B$32,0))-(SUMIFS($P$3:$P$32,$Q$3:$Q$32,Q21,$E$3:$E$32,E21,$F$3:$F$32,"加")-SUMIFS($P$3:$P$32,$Q$3:$Q$32,Q21,$E$3:$E$32,E21,$F$3:$F$32,"减")),"#,##0.00")))))</f>
        <v/>
      </c>
    </row>
    <row r="22" outlineLevel="3">
      <c r="A22" s="11" t="n">
        <v>19</v>
      </c>
      <c r="B22" s="11" t="n"/>
      <c r="C22" s="11" t="inlineStr">
        <is>
          <t>比率</t>
        </is>
      </c>
      <c r="D22" s="24" t="inlineStr">
        <is>
          <t>对公活期存款占对公存款比</t>
        </is>
      </c>
      <c r="E22" s="13" t="n"/>
      <c r="F22" s="14" t="n"/>
      <c r="G22" s="13" t="inlineStr">
        <is>
          <t>ORG_CORP_DEDMDPT_BAL_PRPR</t>
        </is>
      </c>
      <c r="H22" s="15" t="inlineStr">
        <is>
          <t>对公活期存款余额占比</t>
        </is>
      </c>
      <c r="I22" s="13" t="inlineStr">
        <is>
          <t>1.2.1 ÷ 1.2</t>
        </is>
      </c>
      <c r="J22" s="11" t="inlineStr">
        <is>
          <t>%</t>
        </is>
      </c>
      <c r="K22" s="13" t="inlineStr">
        <is>
          <t>无明显好坏</t>
        </is>
      </c>
      <c r="L22" s="14" t="n"/>
      <c r="M22" s="20" t="inlineStr">
        <is>
          <t>待对账</t>
        </is>
      </c>
      <c r="N22" s="17" t="n"/>
      <c r="O22" s="17" t="inlineStr">
        <is>
          <t>报表分母是对公存款；数据湖现成指标的分母待对账确认</t>
        </is>
      </c>
      <c r="P22" s="22" t="n">
        <v>0.329047619047619</v>
      </c>
      <c r="Q22" s="15">
        <f>IF(B22="","",IFERROR(LEFT(B22,FIND("~",SUBSTITUTE(B22,".","~",LEN(B22)-LEN(SUBSTITUTE(B22,".",""))))-1),""))</f>
        <v/>
      </c>
      <c r="R22" s="15">
        <f>IF(OR(Q22="",AND(F22&lt;&gt;"加",F22&lt;&gt;"减")),"",IF(COUNTIFS($Q$3:Q22,Q22,$E$3:E22,E22,$F$3:F22,"加")+COUNTIFS($Q$3:Q22,Q22,$E$3:E22,E22,$F$3:F22,"减")&gt;1,"",IF(ISNUMBER(INDEX($P$3:$P$32,MATCH(Q22,$B$3:$B$32,0)))=FALSE,"上级无数值",IF(ABS(INDEX($P$3:$P$32,MATCH(Q22,$B$3:$B$32,0))-(SUMIFS($P$3:$P$32,$Q$3:$Q$32,Q22,$E$3:$E$32,E22,$F$3:$F$32,"加")-SUMIFS($P$3:$P$32,$Q$3:$Q$32,Q22,$E$3:$E$32,E22,$F$3:$F$32,"减")))&lt;=MAX(0.05,ABS(INDEX($P$3:$P$32,MATCH(Q22,$B$3:$B$32,0)))*0.0005),"✓ 合计与上级一致","✗ 合计与上级相差 "&amp;TEXT(INDEX($P$3:$P$32,MATCH(Q22,$B$3:$B$32,0))-(SUMIFS($P$3:$P$32,$Q$3:$Q$32,Q22,$E$3:$E$32,E22,$F$3:$F$32,"加")-SUMIFS($P$3:$P$32,$Q$3:$Q$32,Q22,$E$3:$E$32,E22,$F$3:$F$32,"减")),"#,##0.00")))))</f>
        <v/>
      </c>
    </row>
    <row r="23" outlineLevel="2">
      <c r="A23" s="11" t="n">
        <v>20</v>
      </c>
      <c r="B23" s="11" t="inlineStr">
        <is>
          <t>1.2.2</t>
        </is>
      </c>
      <c r="C23" s="11" t="inlineStr">
        <is>
          <t>指标</t>
        </is>
      </c>
      <c r="D23" s="23" t="inlineStr">
        <is>
          <t>对公定期存款</t>
        </is>
      </c>
      <c r="E23" s="13" t="inlineStr">
        <is>
          <t>按存款类型</t>
        </is>
      </c>
      <c r="F23" s="14" t="inlineStr">
        <is>
          <t>加</t>
        </is>
      </c>
      <c r="G23" s="13" t="inlineStr">
        <is>
          <t>ORG_CORP_TMDST_BAL</t>
        </is>
      </c>
      <c r="H23" s="15" t="inlineStr">
        <is>
          <t>对公定期存款余额</t>
        </is>
      </c>
      <c r="I23" s="13" t="n"/>
      <c r="J23" s="11" t="inlineStr">
        <is>
          <t>亿元</t>
        </is>
      </c>
      <c r="K23" s="13" t="inlineStr">
        <is>
          <t>越大越好</t>
        </is>
      </c>
      <c r="L23" s="14" t="n"/>
      <c r="M23" s="20" t="inlineStr">
        <is>
          <t>待对账</t>
        </is>
      </c>
      <c r="N23" s="17" t="n"/>
      <c r="O23" s="17" t="n"/>
      <c r="P23" s="18" t="n">
        <v>7481.79</v>
      </c>
      <c r="Q23" s="15">
        <f>IF(B23="","",IFERROR(LEFT(B23,FIND("~",SUBSTITUTE(B23,".","~",LEN(B23)-LEN(SUBSTITUTE(B23,".",""))))-1),""))</f>
        <v/>
      </c>
      <c r="R23" s="15">
        <f>IF(OR(Q23="",AND(F23&lt;&gt;"加",F23&lt;&gt;"减")),"",IF(COUNTIFS($Q$3:Q23,Q23,$E$3:E23,E23,$F$3:F23,"加")+COUNTIFS($Q$3:Q23,Q23,$E$3:E23,E23,$F$3:F23,"减")&gt;1,"",IF(ISNUMBER(INDEX($P$3:$P$32,MATCH(Q23,$B$3:$B$32,0)))=FALSE,"上级无数值",IF(ABS(INDEX($P$3:$P$32,MATCH(Q23,$B$3:$B$32,0))-(SUMIFS($P$3:$P$32,$Q$3:$Q$32,Q23,$E$3:$E$32,E23,$F$3:$F$32,"加")-SUMIFS($P$3:$P$32,$Q$3:$Q$32,Q23,$E$3:$E$32,E23,$F$3:$F$32,"减")))&lt;=MAX(0.05,ABS(INDEX($P$3:$P$32,MATCH(Q23,$B$3:$B$32,0)))*0.0005),"✓ 合计与上级一致","✗ 合计与上级相差 "&amp;TEXT(INDEX($P$3:$P$32,MATCH(Q23,$B$3:$B$32,0))-(SUMIFS($P$3:$P$32,$Q$3:$Q$32,Q23,$E$3:$E$32,E23,$F$3:$F$32,"加")-SUMIFS($P$3:$P$32,$Q$3:$Q$32,Q23,$E$3:$E$32,E23,$F$3:$F$32,"减")),"#,##0.00")))))</f>
        <v/>
      </c>
    </row>
    <row r="24" outlineLevel="3">
      <c r="A24" s="11" t="n">
        <v>21</v>
      </c>
      <c r="B24" s="11" t="n"/>
      <c r="C24" s="11" t="inlineStr">
        <is>
          <t>比率</t>
        </is>
      </c>
      <c r="D24" s="24" t="inlineStr">
        <is>
          <t>对公定期存款占对公存款比</t>
        </is>
      </c>
      <c r="E24" s="13" t="n"/>
      <c r="F24" s="14" t="n"/>
      <c r="G24" s="13" t="n"/>
      <c r="H24" s="15" t="n"/>
      <c r="I24" s="13" t="inlineStr">
        <is>
          <t>1.2.2 ÷ 1.2</t>
        </is>
      </c>
      <c r="J24" s="11" t="inlineStr">
        <is>
          <t>%</t>
        </is>
      </c>
      <c r="K24" s="13" t="inlineStr">
        <is>
          <t>无明显好坏</t>
        </is>
      </c>
      <c r="L24" s="14" t="n"/>
      <c r="M24" s="20" t="inlineStr">
        <is>
          <t>待对账</t>
        </is>
      </c>
      <c r="N24" s="17" t="n"/>
      <c r="O24" s="17" t="inlineStr">
        <is>
          <t>数据湖无现成指标，按计算方式得出</t>
        </is>
      </c>
      <c r="P24" s="22" t="n">
        <v>0.670952380952381</v>
      </c>
      <c r="Q24" s="15">
        <f>IF(B24="","",IFERROR(LEFT(B24,FIND("~",SUBSTITUTE(B24,".","~",LEN(B24)-LEN(SUBSTITUTE(B24,".",""))))-1),""))</f>
        <v/>
      </c>
      <c r="R24" s="15">
        <f>IF(OR(Q24="",AND(F24&lt;&gt;"加",F24&lt;&gt;"减")),"",IF(COUNTIFS($Q$3:Q24,Q24,$E$3:E24,E24,$F$3:F24,"加")+COUNTIFS($Q$3:Q24,Q24,$E$3:E24,E24,$F$3:F24,"减")&gt;1,"",IF(ISNUMBER(INDEX($P$3:$P$32,MATCH(Q24,$B$3:$B$32,0)))=FALSE,"上级无数值",IF(ABS(INDEX($P$3:$P$32,MATCH(Q24,$B$3:$B$32,0))-(SUMIFS($P$3:$P$32,$Q$3:$Q$32,Q24,$E$3:$E$32,E24,$F$3:$F$32,"加")-SUMIFS($P$3:$P$32,$Q$3:$Q$32,Q24,$E$3:$E$32,E24,$F$3:$F$32,"减")))&lt;=MAX(0.05,ABS(INDEX($P$3:$P$32,MATCH(Q24,$B$3:$B$32,0)))*0.0005),"✓ 合计与上级一致","✗ 合计与上级相差 "&amp;TEXT(INDEX($P$3:$P$32,MATCH(Q24,$B$3:$B$32,0))-(SUMIFS($P$3:$P$32,$Q$3:$Q$32,Q24,$E$3:$E$32,E24,$F$3:$F$32,"加")-SUMIFS($P$3:$P$32,$Q$3:$Q$32,Q24,$E$3:$E$32,E24,$F$3:$F$32,"减")),"#,##0.00")))))</f>
        <v/>
      </c>
    </row>
    <row r="25" outlineLevel="2">
      <c r="A25" s="11" t="n">
        <v>22</v>
      </c>
      <c r="B25" s="11" t="inlineStr">
        <is>
          <t>1.2.3</t>
        </is>
      </c>
      <c r="C25" s="11" t="inlineStr">
        <is>
          <t>指标</t>
        </is>
      </c>
      <c r="D25" s="23" t="inlineStr">
        <is>
          <t>保证金存款</t>
        </is>
      </c>
      <c r="E25" s="13" t="inlineStr">
        <is>
          <t>其中项</t>
        </is>
      </c>
      <c r="F25" s="14" t="inlineStr">
        <is>
          <t>其中</t>
        </is>
      </c>
      <c r="G25" s="13" t="inlineStr">
        <is>
          <t>ORG_CORP_MRGN_DEPT_BAL</t>
        </is>
      </c>
      <c r="H25" s="15" t="inlineStr">
        <is>
          <t>对公保证金存款余额</t>
        </is>
      </c>
      <c r="I25" s="13" t="n"/>
      <c r="J25" s="11" t="inlineStr">
        <is>
          <t>亿元</t>
        </is>
      </c>
      <c r="K25" s="13" t="inlineStr">
        <is>
          <t>无明显好坏</t>
        </is>
      </c>
      <c r="L25" s="14" t="n"/>
      <c r="M25" s="20" t="inlineStr">
        <is>
          <t>待对账</t>
        </is>
      </c>
      <c r="N25" s="17" t="n"/>
      <c r="O25" s="17" t="inlineStr">
        <is>
          <t>报表以“其中”列示，与活期/定期交叉，不参与加总</t>
        </is>
      </c>
      <c r="P25" s="18" t="n">
        <v>1774.99</v>
      </c>
      <c r="Q25" s="15">
        <f>IF(B25="","",IFERROR(LEFT(B25,FIND("~",SUBSTITUTE(B25,".","~",LEN(B25)-LEN(SUBSTITUTE(B25,".",""))))-1),""))</f>
        <v/>
      </c>
      <c r="R25" s="15">
        <f>IF(OR(Q25="",AND(F25&lt;&gt;"加",F25&lt;&gt;"减")),"",IF(COUNTIFS($Q$3:Q25,Q25,$E$3:E25,E25,$F$3:F25,"加")+COUNTIFS($Q$3:Q25,Q25,$E$3:E25,E25,$F$3:F25,"减")&gt;1,"",IF(ISNUMBER(INDEX($P$3:$P$32,MATCH(Q25,$B$3:$B$32,0)))=FALSE,"上级无数值",IF(ABS(INDEX($P$3:$P$32,MATCH(Q25,$B$3:$B$32,0))-(SUMIFS($P$3:$P$32,$Q$3:$Q$32,Q25,$E$3:$E$32,E25,$F$3:$F$32,"加")-SUMIFS($P$3:$P$32,$Q$3:$Q$32,Q25,$E$3:$E$32,E25,$F$3:$F$32,"减")))&lt;=MAX(0.05,ABS(INDEX($P$3:$P$32,MATCH(Q25,$B$3:$B$32,0)))*0.0005),"✓ 合计与上级一致","✗ 合计与上级相差 "&amp;TEXT(INDEX($P$3:$P$32,MATCH(Q25,$B$3:$B$32,0))-(SUMIFS($P$3:$P$32,$Q$3:$Q$32,Q25,$E$3:$E$32,E25,$F$3:$F$32,"加")-SUMIFS($P$3:$P$32,$Q$3:$Q$32,Q25,$E$3:$E$32,E25,$F$3:$F$32,"减")),"#,##0.00")))))</f>
        <v/>
      </c>
    </row>
    <row r="26" outlineLevel="3">
      <c r="A26" s="11" t="n">
        <v>23</v>
      </c>
      <c r="B26" s="11" t="n"/>
      <c r="C26" s="11" t="inlineStr">
        <is>
          <t>比率</t>
        </is>
      </c>
      <c r="D26" s="24" t="inlineStr">
        <is>
          <t>保证金存款占对公存款比</t>
        </is>
      </c>
      <c r="E26" s="13" t="n"/>
      <c r="F26" s="14" t="n"/>
      <c r="G26" s="13" t="n"/>
      <c r="H26" s="15" t="n"/>
      <c r="I26" s="13" t="inlineStr">
        <is>
          <t>1.2.3 ÷ 1.2</t>
        </is>
      </c>
      <c r="J26" s="11" t="inlineStr">
        <is>
          <t>%</t>
        </is>
      </c>
      <c r="K26" s="13" t="inlineStr">
        <is>
          <t>无明显好坏</t>
        </is>
      </c>
      <c r="L26" s="14" t="n"/>
      <c r="M26" s="20" t="inlineStr">
        <is>
          <t>待对账</t>
        </is>
      </c>
      <c r="N26" s="17" t="n"/>
      <c r="O26" s="17" t="n"/>
      <c r="P26" s="22" t="n">
        <v>0.1591776522285</v>
      </c>
      <c r="Q26" s="15">
        <f>IF(B26="","",IFERROR(LEFT(B26,FIND("~",SUBSTITUTE(B26,".","~",LEN(B26)-LEN(SUBSTITUTE(B26,".",""))))-1),""))</f>
        <v/>
      </c>
      <c r="R26" s="15">
        <f>IF(OR(Q26="",AND(F26&lt;&gt;"加",F26&lt;&gt;"减")),"",IF(COUNTIFS($Q$3:Q26,Q26,$E$3:E26,E26,$F$3:F26,"加")+COUNTIFS($Q$3:Q26,Q26,$E$3:E26,E26,$F$3:F26,"减")&gt;1,"",IF(ISNUMBER(INDEX($P$3:$P$32,MATCH(Q26,$B$3:$B$32,0)))=FALSE,"上级无数值",IF(ABS(INDEX($P$3:$P$32,MATCH(Q26,$B$3:$B$32,0))-(SUMIFS($P$3:$P$32,$Q$3:$Q$32,Q26,$E$3:$E$32,E26,$F$3:$F$32,"加")-SUMIFS($P$3:$P$32,$Q$3:$Q$32,Q26,$E$3:$E$32,E26,$F$3:$F$32,"减")))&lt;=MAX(0.05,ABS(INDEX($P$3:$P$32,MATCH(Q26,$B$3:$B$32,0)))*0.0005),"✓ 合计与上级一致","✗ 合计与上级相差 "&amp;TEXT(INDEX($P$3:$P$32,MATCH(Q26,$B$3:$B$32,0))-(SUMIFS($P$3:$P$32,$Q$3:$Q$32,Q26,$E$3:$E$32,E26,$F$3:$F$32,"加")-SUMIFS($P$3:$P$32,$Q$3:$Q$32,Q26,$E$3:$E$32,E26,$F$3:$F$32,"减")),"#,##0.00")))))</f>
        <v/>
      </c>
    </row>
    <row r="27" outlineLevel="2">
      <c r="A27" s="11" t="n">
        <v>24</v>
      </c>
      <c r="B27" s="11" t="inlineStr">
        <is>
          <t>1.2.4</t>
        </is>
      </c>
      <c r="C27" s="11" t="inlineStr">
        <is>
          <t>指标</t>
        </is>
      </c>
      <c r="D27" s="23" t="inlineStr">
        <is>
          <t>非银存款</t>
        </is>
      </c>
      <c r="E27" s="13" t="inlineStr">
        <is>
          <t>其中项</t>
        </is>
      </c>
      <c r="F27" s="14" t="inlineStr">
        <is>
          <t>其中</t>
        </is>
      </c>
      <c r="G27" s="13" t="n"/>
      <c r="H27" s="15" t="n"/>
      <c r="I27" s="13" t="n"/>
      <c r="J27" s="11" t="inlineStr">
        <is>
          <t>亿元</t>
        </is>
      </c>
      <c r="K27" s="13" t="inlineStr">
        <is>
          <t>无明显好坏</t>
        </is>
      </c>
      <c r="L27" s="14" t="n"/>
      <c r="M27" s="27" t="inlineStr">
        <is>
          <t>数据湖无此指标</t>
        </is>
      </c>
      <c r="N27" s="17" t="inlineStr">
        <is>
          <t>数据湖中按名称找不到“非银存款”，对应哪个指标编号？</t>
        </is>
      </c>
      <c r="O27" s="17" t="inlineStr">
        <is>
          <t>报表以“其中”列示，不参与加总</t>
        </is>
      </c>
      <c r="P27" s="18" t="n">
        <v>488.339999999997</v>
      </c>
      <c r="Q27" s="15">
        <f>IF(B27="","",IFERROR(LEFT(B27,FIND("~",SUBSTITUTE(B27,".","~",LEN(B27)-LEN(SUBSTITUTE(B27,".",""))))-1),""))</f>
        <v/>
      </c>
      <c r="R27" s="15">
        <f>IF(OR(Q27="",AND(F27&lt;&gt;"加",F27&lt;&gt;"减")),"",IF(COUNTIFS($Q$3:Q27,Q27,$E$3:E27,E27,$F$3:F27,"加")+COUNTIFS($Q$3:Q27,Q27,$E$3:E27,E27,$F$3:F27,"减")&gt;1,"",IF(ISNUMBER(INDEX($P$3:$P$32,MATCH(Q27,$B$3:$B$32,0)))=FALSE,"上级无数值",IF(ABS(INDEX($P$3:$P$32,MATCH(Q27,$B$3:$B$32,0))-(SUMIFS($P$3:$P$32,$Q$3:$Q$32,Q27,$E$3:$E$32,E27,$F$3:$F$32,"加")-SUMIFS($P$3:$P$32,$Q$3:$Q$32,Q27,$E$3:$E$32,E27,$F$3:$F$32,"减")))&lt;=MAX(0.05,ABS(INDEX($P$3:$P$32,MATCH(Q27,$B$3:$B$32,0)))*0.0005),"✓ 合计与上级一致","✗ 合计与上级相差 "&amp;TEXT(INDEX($P$3:$P$32,MATCH(Q27,$B$3:$B$32,0))-(SUMIFS($P$3:$P$32,$Q$3:$Q$32,Q27,$E$3:$E$32,E27,$F$3:$F$32,"加")-SUMIFS($P$3:$P$32,$Q$3:$Q$32,Q27,$E$3:$E$32,E27,$F$3:$F$32,"减")),"#,##0.00")))))</f>
        <v/>
      </c>
    </row>
    <row r="28" outlineLevel="3">
      <c r="A28" s="11" t="n">
        <v>25</v>
      </c>
      <c r="B28" s="11" t="n"/>
      <c r="C28" s="11" t="inlineStr">
        <is>
          <t>比率</t>
        </is>
      </c>
      <c r="D28" s="24" t="inlineStr">
        <is>
          <t>非银存款占对公存款比</t>
        </is>
      </c>
      <c r="E28" s="13" t="n"/>
      <c r="F28" s="14" t="n"/>
      <c r="G28" s="13" t="n"/>
      <c r="H28" s="15" t="n"/>
      <c r="I28" s="13" t="inlineStr">
        <is>
          <t>1.2.4 ÷ 1.2</t>
        </is>
      </c>
      <c r="J28" s="11" t="inlineStr">
        <is>
          <t>%</t>
        </is>
      </c>
      <c r="K28" s="13" t="inlineStr">
        <is>
          <t>无明显好坏</t>
        </is>
      </c>
      <c r="L28" s="14" t="n"/>
      <c r="M28" s="27" t="inlineStr">
        <is>
          <t>数据湖无此指标</t>
        </is>
      </c>
      <c r="N28" s="17" t="n"/>
      <c r="O28" s="17" t="n"/>
      <c r="P28" s="22" t="n">
        <v>0.0437933817594832</v>
      </c>
      <c r="Q28" s="15">
        <f>IF(B28="","",IFERROR(LEFT(B28,FIND("~",SUBSTITUTE(B28,".","~",LEN(B28)-LEN(SUBSTITUTE(B28,".",""))))-1),""))</f>
        <v/>
      </c>
      <c r="R28" s="15">
        <f>IF(OR(Q28="",AND(F28&lt;&gt;"加",F28&lt;&gt;"减")),"",IF(COUNTIFS($Q$3:Q28,Q28,$E$3:E28,E28,$F$3:F28,"加")+COUNTIFS($Q$3:Q28,Q28,$E$3:E28,E28,$F$3:F28,"减")&gt;1,"",IF(ISNUMBER(INDEX($P$3:$P$32,MATCH(Q28,$B$3:$B$32,0)))=FALSE,"上级无数值",IF(ABS(INDEX($P$3:$P$32,MATCH(Q28,$B$3:$B$32,0))-(SUMIFS($P$3:$P$32,$Q$3:$Q$32,Q28,$E$3:$E$32,E28,$F$3:$F$32,"加")-SUMIFS($P$3:$P$32,$Q$3:$Q$32,Q28,$E$3:$E$32,E28,$F$3:$F$32,"减")))&lt;=MAX(0.05,ABS(INDEX($P$3:$P$32,MATCH(Q28,$B$3:$B$32,0)))*0.0005),"✓ 合计与上级一致","✗ 合计与上级相差 "&amp;TEXT(INDEX($P$3:$P$32,MATCH(Q28,$B$3:$B$32,0))-(SUMIFS($P$3:$P$32,$Q$3:$Q$32,Q28,$E$3:$E$32,E28,$F$3:$F$32,"加")-SUMIFS($P$3:$P$32,$Q$3:$Q$32,Q28,$E$3:$E$32,E28,$F$3:$F$32,"减")),"#,##0.00")))))</f>
        <v/>
      </c>
    </row>
    <row r="29">
      <c r="A29" s="11" t="n">
        <v>26</v>
      </c>
      <c r="B29" s="11" t="inlineStr">
        <is>
          <t>2</t>
        </is>
      </c>
      <c r="C29" s="11" t="inlineStr">
        <is>
          <t>指标</t>
        </is>
      </c>
      <c r="D29" s="12" t="inlineStr">
        <is>
          <t>存款市场份额</t>
        </is>
      </c>
      <c r="E29" s="13" t="n"/>
      <c r="F29" s="14" t="n"/>
      <c r="G29" s="13" t="inlineStr">
        <is>
          <t>ORG_DEPT_MRKT_SHR_RT</t>
        </is>
      </c>
      <c r="H29" s="15" t="inlineStr">
        <is>
          <t>存款市场份额比率</t>
        </is>
      </c>
      <c r="I29" s="13" t="n"/>
      <c r="J29" s="11" t="inlineStr">
        <is>
          <t>%</t>
        </is>
      </c>
      <c r="K29" s="13" t="inlineStr">
        <is>
          <t>越大越好</t>
        </is>
      </c>
      <c r="L29" s="14" t="n"/>
      <c r="M29" s="20" t="inlineStr">
        <is>
          <t>待对账</t>
        </is>
      </c>
      <c r="N29" s="17" t="n"/>
      <c r="O29" s="17" t="inlineStr">
        <is>
          <t>报表 2026年7月末为“待公布”</t>
        </is>
      </c>
      <c r="P29" s="22" t="inlineStr">
        <is>
          <t>待公布</t>
        </is>
      </c>
      <c r="Q29" s="15">
        <f>IF(B29="","",IFERROR(LEFT(B29,FIND("~",SUBSTITUTE(B29,".","~",LEN(B29)-LEN(SUBSTITUTE(B29,".",""))))-1),""))</f>
        <v/>
      </c>
      <c r="R29" s="15">
        <f>IF(OR(Q29="",AND(F29&lt;&gt;"加",F29&lt;&gt;"减")),"",IF(COUNTIFS($Q$3:Q29,Q29,$E$3:E29,E29,$F$3:F29,"加")+COUNTIFS($Q$3:Q29,Q29,$E$3:E29,E29,$F$3:F29,"减")&gt;1,"",IF(ISNUMBER(INDEX($P$3:$P$32,MATCH(Q29,$B$3:$B$32,0)))=FALSE,"上级无数值",IF(ABS(INDEX($P$3:$P$32,MATCH(Q29,$B$3:$B$32,0))-(SUMIFS($P$3:$P$32,$Q$3:$Q$32,Q29,$E$3:$E$32,E29,$F$3:$F$32,"加")-SUMIFS($P$3:$P$32,$Q$3:$Q$32,Q29,$E$3:$E$32,E29,$F$3:$F$32,"减")))&lt;=MAX(0.05,ABS(INDEX($P$3:$P$32,MATCH(Q29,$B$3:$B$32,0)))*0.0005),"✓ 合计与上级一致","✗ 合计与上级相差 "&amp;TEXT(INDEX($P$3:$P$32,MATCH(Q29,$B$3:$B$32,0))-(SUMIFS($P$3:$P$32,$Q$3:$Q$32,Q29,$E$3:$E$32,E29,$F$3:$F$32,"加")-SUMIFS($P$3:$P$32,$Q$3:$Q$32,Q29,$E$3:$E$32,E29,$F$3:$F$32,"减")),"#,##0.00")))))</f>
        <v/>
      </c>
    </row>
    <row r="30">
      <c r="A30" s="11" t="n">
        <v>27</v>
      </c>
      <c r="B30" s="11" t="n"/>
      <c r="C30" s="11" t="inlineStr">
        <is>
          <t>比率</t>
        </is>
      </c>
      <c r="D30" s="28" t="inlineStr">
        <is>
          <t>全部3年期以上存款占比</t>
        </is>
      </c>
      <c r="E30" s="13" t="n"/>
      <c r="F30" s="14" t="n"/>
      <c r="G30" s="13" t="inlineStr">
        <is>
          <t>A：ORG_Y3_MATU_ABV_TMDST_BAL_PRPR；B：ORG_THRYRTEM_ABV_TMDST_BAL_PRPR</t>
        </is>
      </c>
      <c r="H30" s="15" t="inlineStr">
        <is>
          <t>A：三年期限及以上定期存款余额占比；B：三年期限以上定期存款余额占比</t>
        </is>
      </c>
      <c r="I30" s="13" t="inlineStr">
        <is>
          <t>三年期以上定期存款 ÷ 各项存款</t>
        </is>
      </c>
      <c r="J30" s="11" t="inlineStr">
        <is>
          <t>%</t>
        </is>
      </c>
      <c r="K30" s="13" t="inlineStr">
        <is>
          <t>无明显好坏</t>
        </is>
      </c>
      <c r="L30" s="14" t="n"/>
      <c r="M30" s="16" t="inlineStr">
        <is>
          <t>待确认</t>
        </is>
      </c>
      <c r="N30" s="17" t="inlineStr">
        <is>
          <t>数据湖有“三年期限及以上”和“三年期限以上”两个指标，报表用哪个？</t>
        </is>
      </c>
      <c r="O30" s="17" t="inlineStr">
        <is>
          <t>季度指标</t>
        </is>
      </c>
      <c r="P30" s="22" t="inlineStr">
        <is>
          <t>季度指标</t>
        </is>
      </c>
      <c r="Q30" s="15">
        <f>IF(B30="","",IFERROR(LEFT(B30,FIND("~",SUBSTITUTE(B30,".","~",LEN(B30)-LEN(SUBSTITUTE(B30,".",""))))-1),""))</f>
        <v/>
      </c>
      <c r="R30" s="15">
        <f>IF(OR(Q30="",AND(F30&lt;&gt;"加",F30&lt;&gt;"减")),"",IF(COUNTIFS($Q$3:Q30,Q30,$E$3:E30,E30,$F$3:F30,"加")+COUNTIFS($Q$3:Q30,Q30,$E$3:E30,E30,$F$3:F30,"减")&gt;1,"",IF(ISNUMBER(INDEX($P$3:$P$32,MATCH(Q30,$B$3:$B$32,0)))=FALSE,"上级无数值",IF(ABS(INDEX($P$3:$P$32,MATCH(Q30,$B$3:$B$32,0))-(SUMIFS($P$3:$P$32,$Q$3:$Q$32,Q30,$E$3:$E$32,E30,$F$3:$F$32,"加")-SUMIFS($P$3:$P$32,$Q$3:$Q$32,Q30,$E$3:$E$32,E30,$F$3:$F$32,"减")))&lt;=MAX(0.05,ABS(INDEX($P$3:$P$32,MATCH(Q30,$B$3:$B$32,0)))*0.0005),"✓ 合计与上级一致","✗ 合计与上级相差 "&amp;TEXT(INDEX($P$3:$P$32,MATCH(Q30,$B$3:$B$32,0))-(SUMIFS($P$3:$P$32,$Q$3:$Q$32,Q30,$E$3:$E$32,E30,$F$3:$F$32,"加")-SUMIFS($P$3:$P$32,$Q$3:$Q$32,Q30,$E$3:$E$32,E30,$F$3:$F$32,"减")),"#,##0.00")))))</f>
        <v/>
      </c>
    </row>
    <row r="31">
      <c r="A31" s="11" t="n">
        <v>28</v>
      </c>
      <c r="B31" s="11" t="n"/>
      <c r="C31" s="11" t="inlineStr">
        <is>
          <t>比率</t>
        </is>
      </c>
      <c r="D31" s="28" t="inlineStr">
        <is>
          <t>活期存款占比（不含协定存款）</t>
        </is>
      </c>
      <c r="E31" s="13" t="n"/>
      <c r="F31" s="14" t="n"/>
      <c r="G31" s="13" t="inlineStr">
        <is>
          <t>A：ORG_DEDMDPT_BAL；B：ORG_CORP_AGRMT_DEPT_BAL</t>
        </is>
      </c>
      <c r="H31" s="15" t="inlineStr">
        <is>
          <t>A：活期存款余额_含协定；B：对公协定存款余额</t>
        </is>
      </c>
      <c r="I31" s="13" t="inlineStr">
        <is>
          <t>(A − B) ÷ 1</t>
        </is>
      </c>
      <c r="J31" s="11" t="inlineStr">
        <is>
          <t>%</t>
        </is>
      </c>
      <c r="K31" s="13" t="inlineStr">
        <is>
          <t>越大越好</t>
        </is>
      </c>
      <c r="L31" s="14" t="n"/>
      <c r="M31" s="16" t="inlineStr">
        <is>
          <t>待确认</t>
        </is>
      </c>
      <c r="N31" s="17" t="inlineStr">
        <is>
          <t>是否 = (活期存款_含协定 − 对公协定存款) ÷ 各项存款？另：个人活期 + 对公活期 占各项存款为 18.74%，与报表 18.99% 不一致，报表的“活期存款”还包含什么？</t>
        </is>
      </c>
      <c r="O31" s="17" t="n"/>
      <c r="P31" s="22" t="n">
        <v>0.1899</v>
      </c>
      <c r="Q31" s="15">
        <f>IF(B31="","",IFERROR(LEFT(B31,FIND("~",SUBSTITUTE(B31,".","~",LEN(B31)-LEN(SUBSTITUTE(B31,".",""))))-1),""))</f>
        <v/>
      </c>
      <c r="R31" s="15">
        <f>IF(OR(Q31="",AND(F31&lt;&gt;"加",F31&lt;&gt;"减")),"",IF(COUNTIFS($Q$3:Q31,Q31,$E$3:E31,E31,$F$3:F31,"加")+COUNTIFS($Q$3:Q31,Q31,$E$3:E31,E31,$F$3:F31,"减")&gt;1,"",IF(ISNUMBER(INDEX($P$3:$P$32,MATCH(Q31,$B$3:$B$32,0)))=FALSE,"上级无数值",IF(ABS(INDEX($P$3:$P$32,MATCH(Q31,$B$3:$B$32,0))-(SUMIFS($P$3:$P$32,$Q$3:$Q$32,Q31,$E$3:$E$32,E31,$F$3:$F$32,"加")-SUMIFS($P$3:$P$32,$Q$3:$Q$32,Q31,$E$3:$E$32,E31,$F$3:$F$32,"减")))&lt;=MAX(0.05,ABS(INDEX($P$3:$P$32,MATCH(Q31,$B$3:$B$32,0)))*0.0005),"✓ 合计与上级一致","✗ 合计与上级相差 "&amp;TEXT(INDEX($P$3:$P$32,MATCH(Q31,$B$3:$B$32,0))-(SUMIFS($P$3:$P$32,$Q$3:$Q$32,Q31,$E$3:$E$32,E31,$F$3:$F$32,"加")-SUMIFS($P$3:$P$32,$Q$3:$Q$32,Q31,$E$3:$E$32,E31,$F$3:$F$32,"减")),"#,##0.00")))))</f>
        <v/>
      </c>
    </row>
    <row r="32">
      <c r="A32" s="11" t="n">
        <v>29</v>
      </c>
      <c r="B32" s="11" t="n"/>
      <c r="C32" s="11" t="inlineStr">
        <is>
          <t>比率</t>
        </is>
      </c>
      <c r="D32" s="28" t="inlineStr">
        <is>
          <t>活期存款占比（含协定存款）</t>
        </is>
      </c>
      <c r="E32" s="13" t="n"/>
      <c r="F32" s="14" t="n"/>
      <c r="G32" s="13" t="inlineStr">
        <is>
          <t>ORG_DEDMDPT_BAL_PRPR</t>
        </is>
      </c>
      <c r="H32" s="15" t="inlineStr">
        <is>
          <t>活期存款余额占比_含协定</t>
        </is>
      </c>
      <c r="I32" s="13" t="inlineStr">
        <is>
          <t>活期存款（含协定） ÷ 1</t>
        </is>
      </c>
      <c r="J32" s="11" t="inlineStr">
        <is>
          <t>%</t>
        </is>
      </c>
      <c r="K32" s="13" t="inlineStr">
        <is>
          <t>越大越好</t>
        </is>
      </c>
      <c r="L32" s="14" t="n"/>
      <c r="M32" s="20" t="inlineStr">
        <is>
          <t>待对账</t>
        </is>
      </c>
      <c r="N32" s="17" t="n"/>
      <c r="O32" s="17" t="n"/>
      <c r="P32" s="22" t="n">
        <v>0.2243</v>
      </c>
      <c r="Q32" s="15">
        <f>IF(B32="","",IFERROR(LEFT(B32,FIND("~",SUBSTITUTE(B32,".","~",LEN(B32)-LEN(SUBSTITUTE(B32,".",""))))-1),""))</f>
        <v/>
      </c>
      <c r="R32" s="15">
        <f>IF(OR(Q32="",AND(F32&lt;&gt;"加",F32&lt;&gt;"减")),"",IF(COUNTIFS($Q$3:Q32,Q32,$E$3:E32,E32,$F$3:F32,"加")+COUNTIFS($Q$3:Q32,Q32,$E$3:E32,E32,$F$3:F32,"减")&gt;1,"",IF(ISNUMBER(INDEX($P$3:$P$32,MATCH(Q32,$B$3:$B$32,0)))=FALSE,"上级无数值",IF(ABS(INDEX($P$3:$P$32,MATCH(Q32,$B$3:$B$32,0))-(SUMIFS($P$3:$P$32,$Q$3:$Q$32,Q32,$E$3:$E$32,E32,$F$3:$F$32,"加")-SUMIFS($P$3:$P$32,$Q$3:$Q$32,Q32,$E$3:$E$32,E32,$F$3:$F$32,"减")))&lt;=MAX(0.05,ABS(INDEX($P$3:$P$32,MATCH(Q32,$B$3:$B$32,0)))*0.0005),"✓ 合计与上级一致","✗ 合计与上级相差 "&amp;TEXT(INDEX($P$3:$P$32,MATCH(Q32,$B$3:$B$32,0))-(SUMIFS($P$3:$P$32,$Q$3:$Q$32,Q32,$E$3:$E$32,E32,$F$3:$F$32,"加")-SUMIFS($P$3:$P$32,$Q$3:$Q$32,Q32,$E$3:$E$32,E32,$F$3:$F$32,"减")),"#,##0.00")))))</f>
        <v/>
      </c>
    </row>
  </sheetData>
  <autoFilter ref="A2:R32"/>
  <dataValidations count="5">
    <dataValidation sqref="C3:C82" showDropDown="0" showInputMessage="0" showErrorMessage="0" allowBlank="1" type="list">
      <formula1>=L_KIND</formula1>
    </dataValidation>
    <dataValidation sqref="F3:F82" showDropDown="0" showInputMessage="0" showErrorMessage="0" allowBlank="1" type="list">
      <formula1>=L_OP</formula1>
    </dataValidation>
    <dataValidation sqref="K3:K82" showDropDown="0" showInputMessage="0" showErrorMessage="0" allowBlank="1" type="list">
      <formula1>=L_DIR</formula1>
    </dataValidation>
    <dataValidation sqref="L3:L82" showDropDown="0" showInputMessage="0" showErrorMessage="0" allowBlank="1" type="list">
      <formula1>=L_YN</formula1>
    </dataValidation>
    <dataValidation sqref="M3:M82" showDropDown="0" showInputMessage="0" showErrorMessage="0" allowBlank="1" type="list">
      <formula1>=L_STATUS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9" customWidth="1" min="4" max="4"/>
    <col width="40" customWidth="1" min="5" max="5"/>
    <col width="20" customWidth="1" min="6" max="6"/>
    <col width="26" customWidth="1" min="7" max="7"/>
    <col width="22" customWidth="1" min="8" max="8"/>
    <col width="9" customWidth="1" min="9" max="9"/>
    <col width="22" customWidth="1" min="10" max="10"/>
    <col width="26" customWidth="1" min="11" max="11"/>
    <col width="10" customWidth="1" min="12" max="12"/>
    <col width="36" customWidth="1" min="13" max="13"/>
  </cols>
  <sheetData>
    <row r="1" ht="58" customHeight="1">
      <c r="A1" s="7" t="n"/>
      <c r="B1" s="7" t="inlineStr">
        <is>
          <t>来自数据湖，全部指标共用</t>
        </is>
      </c>
      <c r="C1" s="7" t="inlineStr">
        <is>
          <t>数据湖编号 = 基础指标编号 + 后缀，如 ORG_VRS_DEPT_BAL + _CMPBGNYR = 各项存款较年初</t>
        </is>
      </c>
      <c r="D1" s="7" t="inlineStr">
        <is>
          <t>当前目录 371 个基础指标中带有该口径的数量</t>
        </is>
      </c>
      <c r="E1" s="7" t="inlineStr">
        <is>
          <t>最重要的一列，请数据方确认算法</t>
        </is>
      </c>
      <c r="F1" s="7" t="inlineStr">
        <is>
          <t>本地测试数据验证 / 按名称推测 / 待数据方说明</t>
        </is>
      </c>
      <c r="G1" s="7" t="inlineStr">
        <is>
          <t>用户这样说时按该口径理解；多个用“、”分隔</t>
        </is>
      </c>
      <c r="H1" s="7" t="inlineStr">
        <is>
          <t>一览表中对应的列</t>
        </is>
      </c>
      <c r="I1" s="7" t="inlineStr">
        <is>
          <t>用户没说口径时采用；全表只标一个“是”</t>
        </is>
      </c>
      <c r="J1" s="7" t="inlineStr">
        <is>
          <t>指标本身是比率（如占比）时该口径的含义</t>
        </is>
      </c>
      <c r="K1" s="7" t="inlineStr">
        <is>
          <t>仅排名类</t>
        </is>
      </c>
      <c r="L1" s="7" t="n"/>
      <c r="M1" s="7" t="n"/>
    </row>
    <row r="2" ht="32" customHeight="1">
      <c r="A2" s="8" t="inlineStr">
        <is>
          <t>序号</t>
        </is>
      </c>
      <c r="B2" s="8" t="inlineStr">
        <is>
          <t>口径名称</t>
        </is>
      </c>
      <c r="C2" s="8" t="inlineStr">
        <is>
          <t>编码后缀</t>
        </is>
      </c>
      <c r="D2" s="8" t="inlineStr">
        <is>
          <t>有该口径的指标数</t>
        </is>
      </c>
      <c r="E2" s="9" t="inlineStr">
        <is>
          <t>含义（和什么比、怎么算）</t>
        </is>
      </c>
      <c r="F2" s="8" t="inlineStr">
        <is>
          <t>依据</t>
        </is>
      </c>
      <c r="G2" s="9" t="inlineStr">
        <is>
          <t>用户常见说法</t>
        </is>
      </c>
      <c r="H2" s="9" t="inlineStr">
        <is>
          <t>对应报表列</t>
        </is>
      </c>
      <c r="I2" s="9" t="inlineStr">
        <is>
          <t>默认口径</t>
        </is>
      </c>
      <c r="J2" s="9" t="inlineStr">
        <is>
          <t>比率类指标时</t>
        </is>
      </c>
      <c r="K2" s="9" t="inlineStr">
        <is>
          <t>排名方向</t>
        </is>
      </c>
      <c r="L2" s="10" t="inlineStr">
        <is>
          <t>状态</t>
        </is>
      </c>
      <c r="M2" s="10" t="inlineStr">
        <is>
          <t>备注 / 答复</t>
        </is>
      </c>
    </row>
    <row r="3">
      <c r="A3" s="29" t="n">
        <v>1</v>
      </c>
      <c r="B3" s="15" t="inlineStr">
        <is>
          <t>当日数</t>
        </is>
      </c>
      <c r="C3" s="15" t="inlineStr">
        <is>
          <t>（无后缀）</t>
        </is>
      </c>
      <c r="D3" s="29" t="n">
        <v>370</v>
      </c>
      <c r="E3" s="13" t="inlineStr">
        <is>
          <t>指定日期的时点值（余额）</t>
        </is>
      </c>
      <c r="F3" s="30" t="inlineStr">
        <is>
          <t>按名称推测</t>
        </is>
      </c>
      <c r="G3" s="13" t="inlineStr">
        <is>
          <t>余额、时点数、当日数、有多少</t>
        </is>
      </c>
      <c r="H3" s="13" t="inlineStr">
        <is>
          <t>2024年末、2025年末、2026年7月末等日期列</t>
        </is>
      </c>
      <c r="I3" s="31" t="inlineStr">
        <is>
          <t>是（建议）</t>
        </is>
      </c>
      <c r="J3" s="13" t="inlineStr">
        <is>
          <t>比率本身</t>
        </is>
      </c>
      <c r="K3" s="13" t="n"/>
      <c r="L3" s="32" t="inlineStr">
        <is>
          <t>待确认</t>
        </is>
      </c>
      <c r="M3" s="17" t="n"/>
    </row>
    <row r="4">
      <c r="A4" s="29" t="n">
        <v>2</v>
      </c>
      <c r="B4" s="15" t="inlineStr">
        <is>
          <t>较上月</t>
        </is>
      </c>
      <c r="C4" s="15" t="inlineStr">
        <is>
          <t>_CMPRLATMO</t>
        </is>
      </c>
      <c r="D4" s="29" t="n">
        <v>371</v>
      </c>
      <c r="E4" s="13" t="inlineStr">
        <is>
          <t>当日数 − 上月末当日数</t>
        </is>
      </c>
      <c r="F4" s="33" t="inlineStr">
        <is>
          <t>本地测试数据验证一致（需在真实数据上复核）</t>
        </is>
      </c>
      <c r="G4" s="13" t="inlineStr">
        <is>
          <t>比上月、环比增加、较上月增加</t>
        </is>
      </c>
      <c r="H4" s="13" t="n"/>
      <c r="I4" s="31" t="n"/>
      <c r="J4" s="13" t="inlineStr">
        <is>
          <t>百分点差（推测）</t>
        </is>
      </c>
      <c r="K4" s="13" t="n"/>
      <c r="L4" s="32" t="inlineStr">
        <is>
          <t>待确认</t>
        </is>
      </c>
      <c r="M4" s="17" t="n"/>
    </row>
    <row r="5">
      <c r="A5" s="29" t="n">
        <v>3</v>
      </c>
      <c r="B5" s="15" t="inlineStr">
        <is>
          <t>较上月增幅</t>
        </is>
      </c>
      <c r="C5" s="15" t="inlineStr">
        <is>
          <t>_CMPRLATMO_INCRRNG</t>
        </is>
      </c>
      <c r="D5" s="29" t="n">
        <v>371</v>
      </c>
      <c r="E5" s="13" t="inlineStr">
        <is>
          <t>较上月 ÷ 上月末当日数</t>
        </is>
      </c>
      <c r="F5" s="33" t="inlineStr">
        <is>
          <t>本地测试数据验证一致（需在真实数据上复核）</t>
        </is>
      </c>
      <c r="G5" s="13" t="inlineStr">
        <is>
          <t>环比增幅、环比增长率</t>
        </is>
      </c>
      <c r="H5" s="13" t="n"/>
      <c r="I5" s="31" t="n"/>
      <c r="J5" s="13" t="inlineStr">
        <is>
          <t>不适用（推测）</t>
        </is>
      </c>
      <c r="K5" s="13" t="n"/>
      <c r="L5" s="32" t="inlineStr">
        <is>
          <t>待确认</t>
        </is>
      </c>
      <c r="M5" s="17" t="n"/>
    </row>
    <row r="6">
      <c r="A6" s="29" t="n">
        <v>4</v>
      </c>
      <c r="B6" s="15" t="inlineStr">
        <is>
          <t>较上月增量排名</t>
        </is>
      </c>
      <c r="C6" s="15" t="inlineStr">
        <is>
          <t>_CMPRLATMO_RNKN</t>
        </is>
      </c>
      <c r="D6" s="29" t="n">
        <v>371</v>
      </c>
      <c r="E6" s="13" t="inlineStr">
        <is>
          <t>按“较上月”在全省 60 家中的名次</t>
        </is>
      </c>
      <c r="F6" s="30" t="inlineStr">
        <is>
          <t>按名称推测</t>
        </is>
      </c>
      <c r="G6" s="13" t="inlineStr">
        <is>
          <t>环比增量排名</t>
        </is>
      </c>
      <c r="H6" s="13" t="n"/>
      <c r="I6" s="31" t="n"/>
      <c r="J6" s="13" t="n"/>
      <c r="K6" s="13" t="inlineStr">
        <is>
          <t>名次 1 为数值最大（待确认）；对“越小越好”的指标需反向理解</t>
        </is>
      </c>
      <c r="L6" s="32" t="inlineStr">
        <is>
          <t>待确认</t>
        </is>
      </c>
      <c r="M6" s="17" t="n"/>
    </row>
    <row r="7">
      <c r="A7" s="29" t="n">
        <v>5</v>
      </c>
      <c r="B7" s="15" t="inlineStr">
        <is>
          <t>较上月增幅排名</t>
        </is>
      </c>
      <c r="C7" s="15" t="inlineStr">
        <is>
          <t>_CMPRLATMO_INCRRNG_RNKN</t>
        </is>
      </c>
      <c r="D7" s="29" t="n">
        <v>371</v>
      </c>
      <c r="E7" s="13" t="inlineStr">
        <is>
          <t>按“较上月增幅”在全省 60 家中的名次</t>
        </is>
      </c>
      <c r="F7" s="30" t="inlineStr">
        <is>
          <t>按名称推测</t>
        </is>
      </c>
      <c r="G7" s="13" t="inlineStr">
        <is>
          <t>环比增速排名</t>
        </is>
      </c>
      <c r="H7" s="13" t="n"/>
      <c r="I7" s="31" t="n"/>
      <c r="J7" s="13" t="n"/>
      <c r="K7" s="13" t="inlineStr">
        <is>
          <t>名次 1 为数值最大（待确认）；对“越小越好”的指标需反向理解</t>
        </is>
      </c>
      <c r="L7" s="32" t="inlineStr">
        <is>
          <t>待确认</t>
        </is>
      </c>
      <c r="M7" s="17" t="n"/>
    </row>
    <row r="8">
      <c r="A8" s="29" t="n">
        <v>6</v>
      </c>
      <c r="B8" s="15" t="inlineStr">
        <is>
          <t>较上季</t>
        </is>
      </c>
      <c r="C8" s="15" t="inlineStr">
        <is>
          <t>_CMPRPVSQRT</t>
        </is>
      </c>
      <c r="D8" s="29" t="n">
        <v>371</v>
      </c>
      <c r="E8" s="13" t="inlineStr">
        <is>
          <t>当日数 − 三个月前同一天的当日数（如 7/31 对比 4/30）</t>
        </is>
      </c>
      <c r="F8" s="33" t="inlineStr">
        <is>
          <t>本地测试数据验证一致（需在真实数据上复核）</t>
        </is>
      </c>
      <c r="G8" s="13" t="inlineStr">
        <is>
          <t>比上季、较上季增加</t>
        </is>
      </c>
      <c r="H8" s="13" t="n"/>
      <c r="I8" s="31" t="n"/>
      <c r="J8" s="13" t="inlineStr">
        <is>
          <t>百分点差（推测）</t>
        </is>
      </c>
      <c r="K8" s="13" t="n"/>
      <c r="L8" s="32" t="inlineStr">
        <is>
          <t>待确认</t>
        </is>
      </c>
      <c r="M8" s="17" t="inlineStr">
        <is>
          <t>注意：不是对比上季末</t>
        </is>
      </c>
    </row>
    <row r="9">
      <c r="A9" s="29" t="n">
        <v>7</v>
      </c>
      <c r="B9" s="15" t="inlineStr">
        <is>
          <t>较上季增幅</t>
        </is>
      </c>
      <c r="C9" s="15" t="inlineStr">
        <is>
          <t>_CMPRPVSQRT_INCRRNG</t>
        </is>
      </c>
      <c r="D9" s="29" t="n">
        <v>371</v>
      </c>
      <c r="E9" s="13" t="inlineStr">
        <is>
          <t>较上季 ÷ 三个月前同一天的当日数</t>
        </is>
      </c>
      <c r="F9" s="30" t="inlineStr">
        <is>
          <t>按名称推测</t>
        </is>
      </c>
      <c r="G9" s="13" t="inlineStr">
        <is>
          <t>较上季增长率</t>
        </is>
      </c>
      <c r="H9" s="13" t="n"/>
      <c r="I9" s="31" t="n"/>
      <c r="J9" s="13" t="inlineStr">
        <is>
          <t>不适用（推测）</t>
        </is>
      </c>
      <c r="K9" s="13" t="n"/>
      <c r="L9" s="32" t="inlineStr">
        <is>
          <t>待确认</t>
        </is>
      </c>
      <c r="M9" s="17" t="n"/>
    </row>
    <row r="10">
      <c r="A10" s="29" t="n">
        <v>8</v>
      </c>
      <c r="B10" s="15" t="inlineStr">
        <is>
          <t>较上季增量排名</t>
        </is>
      </c>
      <c r="C10" s="15" t="inlineStr">
        <is>
          <t>_CMPRPVSQRT_RNKN</t>
        </is>
      </c>
      <c r="D10" s="29" t="n">
        <v>371</v>
      </c>
      <c r="E10" s="13" t="inlineStr">
        <is>
          <t>按“较上季”在全省 60 家中的名次</t>
        </is>
      </c>
      <c r="F10" s="30" t="inlineStr">
        <is>
          <t>按名称推测</t>
        </is>
      </c>
      <c r="G10" s="13" t="n"/>
      <c r="H10" s="13" t="n"/>
      <c r="I10" s="31" t="n"/>
      <c r="J10" s="13" t="n"/>
      <c r="K10" s="13" t="inlineStr">
        <is>
          <t>名次 1 为数值最大（待确认）；对“越小越好”的指标需反向理解</t>
        </is>
      </c>
      <c r="L10" s="32" t="inlineStr">
        <is>
          <t>待确认</t>
        </is>
      </c>
      <c r="M10" s="17" t="n"/>
    </row>
    <row r="11">
      <c r="A11" s="29" t="n">
        <v>9</v>
      </c>
      <c r="B11" s="15" t="inlineStr">
        <is>
          <t>较上季增幅排名</t>
        </is>
      </c>
      <c r="C11" s="15" t="inlineStr">
        <is>
          <t>_CMPRPVSQRT_INCRRNG_RNKN</t>
        </is>
      </c>
      <c r="D11" s="29" t="n">
        <v>371</v>
      </c>
      <c r="E11" s="13" t="inlineStr">
        <is>
          <t>按“较上季增幅”在全省 60 家中的名次</t>
        </is>
      </c>
      <c r="F11" s="30" t="inlineStr">
        <is>
          <t>按名称推测</t>
        </is>
      </c>
      <c r="G11" s="13" t="n"/>
      <c r="H11" s="13" t="n"/>
      <c r="I11" s="31" t="n"/>
      <c r="J11" s="13" t="n"/>
      <c r="K11" s="13" t="inlineStr">
        <is>
          <t>名次 1 为数值最大（待确认）；对“越小越好”的指标需反向理解</t>
        </is>
      </c>
      <c r="L11" s="32" t="inlineStr">
        <is>
          <t>待确认</t>
        </is>
      </c>
      <c r="M11" s="17" t="n"/>
    </row>
    <row r="12">
      <c r="A12" s="29" t="n">
        <v>10</v>
      </c>
      <c r="B12" s="15" t="inlineStr">
        <is>
          <t>较年初</t>
        </is>
      </c>
      <c r="C12" s="15" t="inlineStr">
        <is>
          <t>_CMPBGNYR</t>
        </is>
      </c>
      <c r="D12" s="29" t="n">
        <v>371</v>
      </c>
      <c r="E12" s="13" t="inlineStr">
        <is>
          <t>当日数 − 上年末当日数</t>
        </is>
      </c>
      <c r="F12" s="33" t="inlineStr">
        <is>
          <t>本地测试数据验证一致（需在真实数据上复核）</t>
        </is>
      </c>
      <c r="G12" s="13" t="inlineStr">
        <is>
          <t>比年初、较年初增加、今年以来增加</t>
        </is>
      </c>
      <c r="H12" s="13" t="inlineStr">
        <is>
          <t>较年初增加</t>
        </is>
      </c>
      <c r="I12" s="31" t="n"/>
      <c r="J12" s="13" t="inlineStr">
        <is>
          <t>百分点差（报表中比率行的较年初即百分点差）</t>
        </is>
      </c>
      <c r="K12" s="13" t="n"/>
      <c r="L12" s="32" t="inlineStr">
        <is>
          <t>待确认</t>
        </is>
      </c>
      <c r="M12" s="17" t="inlineStr">
        <is>
          <t>目录中各项存款“较年初”单位为亿元、“当日数”为元，单位不一致，请数据方核实</t>
        </is>
      </c>
    </row>
    <row r="13">
      <c r="A13" s="29" t="n">
        <v>11</v>
      </c>
      <c r="B13" s="15" t="inlineStr">
        <is>
          <t>较年初增幅</t>
        </is>
      </c>
      <c r="C13" s="15" t="inlineStr">
        <is>
          <t>_CMPBGNYR_INCRRNG</t>
        </is>
      </c>
      <c r="D13" s="29" t="n">
        <v>371</v>
      </c>
      <c r="E13" s="13" t="inlineStr">
        <is>
          <t>较年初 ÷ 上年末当日数</t>
        </is>
      </c>
      <c r="F13" s="33" t="inlineStr">
        <is>
          <t>本地测试数据验证一致（需在真实数据上复核）</t>
        </is>
      </c>
      <c r="G13" s="13" t="inlineStr">
        <is>
          <t>较年初增长率、今年以来增长率</t>
        </is>
      </c>
      <c r="H13" s="13" t="inlineStr">
        <is>
          <t>较年初增幅</t>
        </is>
      </c>
      <c r="I13" s="31" t="n"/>
      <c r="J13" s="13" t="inlineStr">
        <is>
          <t>不适用</t>
        </is>
      </c>
      <c r="K13" s="13" t="n"/>
      <c r="L13" s="32" t="inlineStr">
        <is>
          <t>待确认</t>
        </is>
      </c>
      <c r="M13" s="17" t="n"/>
    </row>
    <row r="14">
      <c r="A14" s="29" t="n">
        <v>12</v>
      </c>
      <c r="B14" s="15" t="inlineStr">
        <is>
          <t>较年初增量排名</t>
        </is>
      </c>
      <c r="C14" s="15" t="inlineStr">
        <is>
          <t>_CMPBGNYR_RNKN</t>
        </is>
      </c>
      <c r="D14" s="29" t="n">
        <v>371</v>
      </c>
      <c r="E14" s="13" t="inlineStr">
        <is>
          <t>按“较年初”在全省 60 家中的名次</t>
        </is>
      </c>
      <c r="F14" s="30" t="inlineStr">
        <is>
          <t>按名称推测</t>
        </is>
      </c>
      <c r="G14" s="13" t="inlineStr">
        <is>
          <t>较年初增量排名</t>
        </is>
      </c>
      <c r="H14" s="13" t="n"/>
      <c r="I14" s="31" t="n"/>
      <c r="J14" s="13" t="n"/>
      <c r="K14" s="13" t="inlineStr">
        <is>
          <t>名次 1 为数值最大（待确认）；对“越小越好”的指标需反向理解</t>
        </is>
      </c>
      <c r="L14" s="32" t="inlineStr">
        <is>
          <t>待确认</t>
        </is>
      </c>
      <c r="M14" s="17" t="n"/>
    </row>
    <row r="15">
      <c r="A15" s="29" t="n">
        <v>13</v>
      </c>
      <c r="B15" s="15" t="inlineStr">
        <is>
          <t>较年初增幅排名</t>
        </is>
      </c>
      <c r="C15" s="15" t="inlineStr">
        <is>
          <t>_CMPBGNYR_INCRRNG_RNKN</t>
        </is>
      </c>
      <c r="D15" s="29" t="n">
        <v>371</v>
      </c>
      <c r="E15" s="13" t="inlineStr">
        <is>
          <t>按“较年初增幅”在全省 60 家中的名次</t>
        </is>
      </c>
      <c r="F15" s="30" t="inlineStr">
        <is>
          <t>按名称推测</t>
        </is>
      </c>
      <c r="G15" s="13" t="inlineStr">
        <is>
          <t>较年初增速排名</t>
        </is>
      </c>
      <c r="H15" s="13" t="n"/>
      <c r="I15" s="31" t="n"/>
      <c r="J15" s="13" t="n"/>
      <c r="K15" s="13" t="inlineStr">
        <is>
          <t>名次 1 为数值最大（待确认）；对“越小越好”的指标需反向理解</t>
        </is>
      </c>
      <c r="L15" s="32" t="inlineStr">
        <is>
          <t>待确认</t>
        </is>
      </c>
      <c r="M15" s="17" t="n"/>
    </row>
    <row r="16">
      <c r="A16" s="29" t="n">
        <v>14</v>
      </c>
      <c r="B16" s="15" t="inlineStr">
        <is>
          <t>较年初增幅层级排名</t>
        </is>
      </c>
      <c r="C16" s="15" t="inlineStr">
        <is>
          <t>_CMPBGNYR_INCRRNG_HIER_RNKN</t>
        </is>
      </c>
      <c r="D16" s="29" t="n">
        <v>3</v>
      </c>
      <c r="E16" s="13" t="inlineStr">
        <is>
          <t>按“较年初增幅”在同层级机构中的名次</t>
        </is>
      </c>
      <c r="F16" s="30" t="inlineStr">
        <is>
          <t>按名称推测</t>
        </is>
      </c>
      <c r="G16" s="13" t="n"/>
      <c r="H16" s="13" t="n"/>
      <c r="I16" s="31" t="n"/>
      <c r="J16" s="13" t="n"/>
      <c r="K16" s="13" t="inlineStr">
        <is>
          <t>名次 1 为数值最大（待确认）；对“越小越好”的指标需反向理解</t>
        </is>
      </c>
      <c r="L16" s="32" t="inlineStr">
        <is>
          <t>待确认</t>
        </is>
      </c>
      <c r="M16" s="17" t="inlineStr">
        <is>
          <t>“层级”的含义待说明</t>
        </is>
      </c>
    </row>
    <row r="17">
      <c r="A17" s="29" t="n">
        <v>15</v>
      </c>
      <c r="B17" s="15" t="inlineStr">
        <is>
          <t>较同期</t>
        </is>
      </c>
      <c r="C17" s="15" t="inlineStr">
        <is>
          <t>_CMP_SAMEPRD</t>
        </is>
      </c>
      <c r="D17" s="29" t="n">
        <v>370</v>
      </c>
      <c r="E17" s="13" t="inlineStr">
        <is>
          <t>当日数 − 上年同一天的当日数</t>
        </is>
      </c>
      <c r="F17" s="30" t="inlineStr">
        <is>
          <t>按名称推测</t>
        </is>
      </c>
      <c r="G17" s="13" t="inlineStr">
        <is>
          <t>同比增加、比去年同期</t>
        </is>
      </c>
      <c r="H17" s="13" t="n"/>
      <c r="I17" s="31" t="n"/>
      <c r="J17" s="13" t="inlineStr">
        <is>
          <t>百分点差（推测）</t>
        </is>
      </c>
      <c r="K17" s="13" t="n"/>
      <c r="L17" s="32" t="inlineStr">
        <is>
          <t>待确认</t>
        </is>
      </c>
      <c r="M17" s="17" t="inlineStr">
        <is>
          <t>本地测试数据无上年数据，无法验证</t>
        </is>
      </c>
    </row>
    <row r="18">
      <c r="A18" s="29" t="n">
        <v>16</v>
      </c>
      <c r="B18" s="15" t="inlineStr">
        <is>
          <t>较同期增幅</t>
        </is>
      </c>
      <c r="C18" s="15" t="inlineStr">
        <is>
          <t>_CMP_SAMEPRD_INCRRNG</t>
        </is>
      </c>
      <c r="D18" s="29" t="n">
        <v>371</v>
      </c>
      <c r="E18" s="13" t="inlineStr">
        <is>
          <t>较同期 ÷ 上年同一天的当日数</t>
        </is>
      </c>
      <c r="F18" s="30" t="inlineStr">
        <is>
          <t>按名称推测</t>
        </is>
      </c>
      <c r="G18" s="13" t="inlineStr">
        <is>
          <t>同比、同比增长率</t>
        </is>
      </c>
      <c r="H18" s="13" t="n"/>
      <c r="I18" s="31" t="n"/>
      <c r="J18" s="13" t="inlineStr">
        <is>
          <t>不适用（推测）</t>
        </is>
      </c>
      <c r="K18" s="13" t="n"/>
      <c r="L18" s="32" t="inlineStr">
        <is>
          <t>待确认</t>
        </is>
      </c>
      <c r="M18" s="17" t="n"/>
    </row>
    <row r="19">
      <c r="A19" s="29" t="n">
        <v>17</v>
      </c>
      <c r="B19" s="15" t="inlineStr">
        <is>
          <t>较同期增量排名</t>
        </is>
      </c>
      <c r="C19" s="15" t="inlineStr">
        <is>
          <t>_CMP_SAMEPRD_RNKN</t>
        </is>
      </c>
      <c r="D19" s="29" t="n">
        <v>371</v>
      </c>
      <c r="E19" s="13" t="inlineStr">
        <is>
          <t>按“较同期”在全省 60 家中的名次</t>
        </is>
      </c>
      <c r="F19" s="30" t="inlineStr">
        <is>
          <t>按名称推测</t>
        </is>
      </c>
      <c r="G19" s="13" t="inlineStr">
        <is>
          <t>同比增量排名</t>
        </is>
      </c>
      <c r="H19" s="13" t="n"/>
      <c r="I19" s="31" t="n"/>
      <c r="J19" s="13" t="n"/>
      <c r="K19" s="13" t="inlineStr">
        <is>
          <t>名次 1 为数值最大（待确认）；对“越小越好”的指标需反向理解</t>
        </is>
      </c>
      <c r="L19" s="32" t="inlineStr">
        <is>
          <t>待确认</t>
        </is>
      </c>
      <c r="M19" s="17" t="n"/>
    </row>
    <row r="20">
      <c r="A20" s="29" t="n">
        <v>18</v>
      </c>
      <c r="B20" s="15" t="inlineStr">
        <is>
          <t>较同期增幅排名</t>
        </is>
      </c>
      <c r="C20" s="15" t="inlineStr">
        <is>
          <t>_CMP_SAMEPRD_INCRRNG_RNKN</t>
        </is>
      </c>
      <c r="D20" s="29" t="n">
        <v>371</v>
      </c>
      <c r="E20" s="13" t="inlineStr">
        <is>
          <t>按“较同期增幅”在全省 60 家中的名次</t>
        </is>
      </c>
      <c r="F20" s="30" t="inlineStr">
        <is>
          <t>按名称推测</t>
        </is>
      </c>
      <c r="G20" s="13" t="inlineStr">
        <is>
          <t>同比增速排名</t>
        </is>
      </c>
      <c r="H20" s="13" t="n"/>
      <c r="I20" s="31" t="n"/>
      <c r="J20" s="13" t="n"/>
      <c r="K20" s="13" t="inlineStr">
        <is>
          <t>名次 1 为数值最大（待确认）；对“越小越好”的指标需反向理解</t>
        </is>
      </c>
      <c r="L20" s="32" t="inlineStr">
        <is>
          <t>待确认</t>
        </is>
      </c>
      <c r="M20" s="17" t="n"/>
    </row>
    <row r="21">
      <c r="A21" s="29" t="n">
        <v>19</v>
      </c>
      <c r="B21" s="15" t="inlineStr">
        <is>
          <t>较同期期末</t>
        </is>
      </c>
      <c r="C21" s="15" t="inlineStr">
        <is>
          <t>_CMP_SAMEPRD_TERMEND</t>
        </is>
      </c>
      <c r="D21" s="29" t="n">
        <v>371</v>
      </c>
      <c r="E21" s="13" t="inlineStr">
        <is>
          <t>（待说明）</t>
        </is>
      </c>
      <c r="F21" s="34" t="inlineStr">
        <is>
          <t>待数据方说明</t>
        </is>
      </c>
      <c r="G21" s="13" t="n"/>
      <c r="H21" s="13" t="n"/>
      <c r="I21" s="31" t="n"/>
      <c r="J21" s="13" t="n"/>
      <c r="K21" s="13" t="n"/>
      <c r="L21" s="32" t="inlineStr">
        <is>
          <t>待确认</t>
        </is>
      </c>
      <c r="M21" s="17" t="inlineStr">
        <is>
          <t>本地测试数据中与“较年初”数值完全相同，含义需数据方说明</t>
        </is>
      </c>
    </row>
    <row r="22">
      <c r="A22" s="29" t="n">
        <v>20</v>
      </c>
      <c r="B22" s="15" t="inlineStr">
        <is>
          <t>较同期期末增幅</t>
        </is>
      </c>
      <c r="C22" s="15" t="inlineStr">
        <is>
          <t>_CMP_SAMEPRD_TERMEND_INCRRNG</t>
        </is>
      </c>
      <c r="D22" s="29" t="n">
        <v>371</v>
      </c>
      <c r="E22" s="13" t="inlineStr">
        <is>
          <t>（待说明）</t>
        </is>
      </c>
      <c r="F22" s="34" t="inlineStr">
        <is>
          <t>待数据方说明</t>
        </is>
      </c>
      <c r="G22" s="13" t="n"/>
      <c r="H22" s="13" t="n"/>
      <c r="I22" s="31" t="n"/>
      <c r="J22" s="13" t="n"/>
      <c r="K22" s="13" t="n"/>
      <c r="L22" s="32" t="inlineStr">
        <is>
          <t>待确认</t>
        </is>
      </c>
      <c r="M22" s="17" t="n"/>
    </row>
    <row r="23">
      <c r="A23" s="29" t="n">
        <v>21</v>
      </c>
      <c r="B23" s="15" t="inlineStr">
        <is>
          <t>较同期期末增量排名</t>
        </is>
      </c>
      <c r="C23" s="15" t="inlineStr">
        <is>
          <t>_CMP_SAMEPRD_TERMEND_RNKN</t>
        </is>
      </c>
      <c r="D23" s="29" t="n">
        <v>371</v>
      </c>
      <c r="E23" s="13" t="inlineStr">
        <is>
          <t>（待说明）</t>
        </is>
      </c>
      <c r="F23" s="34" t="inlineStr">
        <is>
          <t>待数据方说明</t>
        </is>
      </c>
      <c r="G23" s="13" t="n"/>
      <c r="H23" s="13" t="n"/>
      <c r="I23" s="31" t="n"/>
      <c r="J23" s="13" t="n"/>
      <c r="K23" s="13" t="inlineStr">
        <is>
          <t>名次 1 为数值最大（待确认）；对“越小越好”的指标需反向理解</t>
        </is>
      </c>
      <c r="L23" s="32" t="inlineStr">
        <is>
          <t>待确认</t>
        </is>
      </c>
      <c r="M23" s="17" t="n"/>
    </row>
    <row r="24">
      <c r="A24" s="29" t="n">
        <v>22</v>
      </c>
      <c r="B24" s="15" t="inlineStr">
        <is>
          <t>较同期期末增幅排名</t>
        </is>
      </c>
      <c r="C24" s="15" t="inlineStr">
        <is>
          <t>_CMP_SAMEPRD_TERMEND_INCRRNG_RNKN</t>
        </is>
      </c>
      <c r="D24" s="29" t="n">
        <v>371</v>
      </c>
      <c r="E24" s="13" t="inlineStr">
        <is>
          <t>（待说明）</t>
        </is>
      </c>
      <c r="F24" s="34" t="inlineStr">
        <is>
          <t>待数据方说明</t>
        </is>
      </c>
      <c r="G24" s="13" t="n"/>
      <c r="H24" s="13" t="n"/>
      <c r="I24" s="31" t="n"/>
      <c r="J24" s="13" t="n"/>
      <c r="K24" s="13" t="inlineStr">
        <is>
          <t>名次 1 为数值最大（待确认）；对“越小越好”的指标需反向理解</t>
        </is>
      </c>
      <c r="L24" s="32" t="inlineStr">
        <is>
          <t>待确认</t>
        </is>
      </c>
      <c r="M24" s="17" t="n"/>
    </row>
    <row r="25">
      <c r="A25" s="29" t="n">
        <v>23</v>
      </c>
      <c r="B25" s="15" t="inlineStr">
        <is>
          <t>全省均值</t>
        </is>
      </c>
      <c r="C25" s="15" t="inlineStr">
        <is>
          <t>_WHLPROV_MEANVL</t>
        </is>
      </c>
      <c r="D25" s="29" t="n">
        <v>371</v>
      </c>
      <c r="E25" s="13" t="inlineStr">
        <is>
          <t>全省 60 家农商行当日数的平均值（不含联合银行）</t>
        </is>
      </c>
      <c r="F25" s="33" t="inlineStr">
        <is>
          <t>本地测试数据验证一致（需在真实数据上复核）</t>
        </is>
      </c>
      <c r="G25" s="13" t="inlineStr">
        <is>
          <t>全省平均</t>
        </is>
      </c>
      <c r="H25" s="13" t="n"/>
      <c r="I25" s="31" t="n"/>
      <c r="J25" s="13" t="n"/>
      <c r="K25" s="13" t="n"/>
      <c r="L25" s="32" t="inlineStr">
        <is>
          <t>待确认</t>
        </is>
      </c>
      <c r="M25" s="17" t="n"/>
    </row>
    <row r="26">
      <c r="A26" s="29" t="n">
        <v>24</v>
      </c>
      <c r="B26" s="15" t="inlineStr">
        <is>
          <t>较全省均值</t>
        </is>
      </c>
      <c r="C26" s="15" t="inlineStr">
        <is>
          <t>_CMPWHLPROV_MEANVL</t>
        </is>
      </c>
      <c r="D26" s="29" t="n">
        <v>371</v>
      </c>
      <c r="E26" s="13" t="inlineStr">
        <is>
          <t>当日数 − 全省均值</t>
        </is>
      </c>
      <c r="F26" s="33" t="inlineStr">
        <is>
          <t>本地测试数据验证一致（需在真实数据上复核）</t>
        </is>
      </c>
      <c r="G26" s="13" t="inlineStr">
        <is>
          <t>比全省平均高（低）多少</t>
        </is>
      </c>
      <c r="H26" s="13" t="n"/>
      <c r="I26" s="31" t="n"/>
      <c r="J26" s="13" t="n"/>
      <c r="K26" s="13" t="n"/>
      <c r="L26" s="32" t="inlineStr">
        <is>
          <t>待确认</t>
        </is>
      </c>
      <c r="M26" s="17" t="n"/>
    </row>
    <row r="27">
      <c r="A27" s="29" t="n">
        <v>25</v>
      </c>
      <c r="B27" s="15" t="inlineStr">
        <is>
          <t>较全省均值增量排名</t>
        </is>
      </c>
      <c r="C27" s="15" t="inlineStr">
        <is>
          <t>_CMPWHLPROV_MEANVL_RNKN</t>
        </is>
      </c>
      <c r="D27" s="29" t="n">
        <v>371</v>
      </c>
      <c r="E27" s="13" t="inlineStr">
        <is>
          <t>按“较全省均值”在全省 60 家中的名次</t>
        </is>
      </c>
      <c r="F27" s="30" t="inlineStr">
        <is>
          <t>按名称推测</t>
        </is>
      </c>
      <c r="G27" s="13" t="n"/>
      <c r="H27" s="13" t="n"/>
      <c r="I27" s="31" t="n"/>
      <c r="J27" s="13" t="n"/>
      <c r="K27" s="13" t="inlineStr">
        <is>
          <t>名次 1 为数值最大（待确认）；对“越小越好”的指标需反向理解</t>
        </is>
      </c>
      <c r="L27" s="32" t="inlineStr">
        <is>
          <t>待确认</t>
        </is>
      </c>
      <c r="M27" s="17" t="n"/>
    </row>
    <row r="28">
      <c r="A28" s="29" t="n">
        <v>26</v>
      </c>
      <c r="B28" s="15" t="inlineStr">
        <is>
          <t>当日数排名</t>
        </is>
      </c>
      <c r="C28" s="15" t="inlineStr">
        <is>
          <t>_RNKN</t>
        </is>
      </c>
      <c r="D28" s="29" t="n">
        <v>371</v>
      </c>
      <c r="E28" s="13" t="inlineStr">
        <is>
          <t>当日数在全省 60 家中的名次</t>
        </is>
      </c>
      <c r="F28" s="33" t="inlineStr">
        <is>
          <t>本地测试数据验证一致（需在真实数据上复核）</t>
        </is>
      </c>
      <c r="G28" s="13" t="inlineStr">
        <is>
          <t>排第几、排名</t>
        </is>
      </c>
      <c r="H28" s="13" t="n"/>
      <c r="I28" s="31" t="n"/>
      <c r="J28" s="13" t="n"/>
      <c r="K28" s="13" t="inlineStr">
        <is>
          <t>名次 1 为数值最大（本地数据：当日数最大的机构名次为 1）</t>
        </is>
      </c>
      <c r="L28" s="32" t="inlineStr">
        <is>
          <t>待确认</t>
        </is>
      </c>
      <c r="M28" s="17" t="inlineStr">
        <is>
          <t>对“越小越好”的指标（如不良率）名次含义需确认</t>
        </is>
      </c>
    </row>
    <row r="29">
      <c r="A29" s="29" t="n">
        <v>27</v>
      </c>
      <c r="B29" s="15" t="inlineStr">
        <is>
          <t>当日数地区排名</t>
        </is>
      </c>
      <c r="C29" s="15" t="inlineStr">
        <is>
          <t>_RGON_RNKN</t>
        </is>
      </c>
      <c r="D29" s="29" t="n">
        <v>3</v>
      </c>
      <c r="E29" s="13" t="inlineStr">
        <is>
          <t>当日数在所在地区内的名次</t>
        </is>
      </c>
      <c r="F29" s="30" t="inlineStr">
        <is>
          <t>按名称推测</t>
        </is>
      </c>
      <c r="G29" s="13" t="inlineStr">
        <is>
          <t>地区排名</t>
        </is>
      </c>
      <c r="H29" s="13" t="n"/>
      <c r="I29" s="31" t="n"/>
      <c r="J29" s="13" t="n"/>
      <c r="K29" s="13" t="inlineStr">
        <is>
          <t>名次 1 为数值最大（待确认）；对“越小越好”的指标需反向理解</t>
        </is>
      </c>
      <c r="L29" s="32" t="inlineStr">
        <is>
          <t>待确认</t>
        </is>
      </c>
      <c r="M29" s="17" t="inlineStr">
        <is>
          <t>仅少数指标有此口径</t>
        </is>
      </c>
    </row>
    <row r="30">
      <c r="A30" s="29" t="n">
        <v>28</v>
      </c>
      <c r="B30" s="15" t="inlineStr">
        <is>
          <t>层级排名</t>
        </is>
      </c>
      <c r="C30" s="15" t="inlineStr">
        <is>
          <t>_HIER_RNKN</t>
        </is>
      </c>
      <c r="D30" s="29" t="n">
        <v>3</v>
      </c>
      <c r="E30" s="13" t="inlineStr">
        <is>
          <t>（待说明）</t>
        </is>
      </c>
      <c r="F30" s="34" t="inlineStr">
        <is>
          <t>待数据方说明</t>
        </is>
      </c>
      <c r="G30" s="13" t="n"/>
      <c r="H30" s="13" t="n"/>
      <c r="I30" s="31" t="n"/>
      <c r="J30" s="13" t="n"/>
      <c r="K30" s="13" t="inlineStr">
        <is>
          <t>名次 1 为数值最大（待确认）；对“越小越好”的指标需反向理解</t>
        </is>
      </c>
      <c r="L30" s="32" t="inlineStr">
        <is>
          <t>待确认</t>
        </is>
      </c>
      <c r="M30" s="17" t="inlineStr">
        <is>
          <t>仅少数指标有此口径</t>
        </is>
      </c>
    </row>
    <row r="31">
      <c r="A31" s="29" t="n">
        <v>29</v>
      </c>
      <c r="B31" s="15" t="inlineStr">
        <is>
          <t>较层级均值</t>
        </is>
      </c>
      <c r="C31" s="15" t="inlineStr">
        <is>
          <t>_CMPSAMELV</t>
        </is>
      </c>
      <c r="D31" s="29" t="n">
        <v>3</v>
      </c>
      <c r="E31" s="13" t="inlineStr">
        <is>
          <t>（待说明）</t>
        </is>
      </c>
      <c r="F31" s="34" t="inlineStr">
        <is>
          <t>待数据方说明</t>
        </is>
      </c>
      <c r="G31" s="13" t="n"/>
      <c r="H31" s="13" t="n"/>
      <c r="I31" s="31" t="n"/>
      <c r="J31" s="13" t="n"/>
      <c r="K31" s="13" t="n"/>
      <c r="L31" s="32" t="inlineStr">
        <is>
          <t>待确认</t>
        </is>
      </c>
      <c r="M31" s="17" t="inlineStr">
        <is>
          <t>仅少数指标有此口径</t>
        </is>
      </c>
    </row>
    <row r="32">
      <c r="A32" s="29" t="n">
        <v>30</v>
      </c>
      <c r="B32" s="15" t="inlineStr">
        <is>
          <t>进取类均值</t>
        </is>
      </c>
      <c r="C32" s="15" t="inlineStr">
        <is>
          <t>_AGGRES_CLASS_MEANVL</t>
        </is>
      </c>
      <c r="D32" s="29" t="n">
        <v>3</v>
      </c>
      <c r="E32" s="13" t="inlineStr">
        <is>
          <t>进取类农商行的均值（推测）</t>
        </is>
      </c>
      <c r="F32" s="34" t="inlineStr">
        <is>
          <t>待数据方说明</t>
        </is>
      </c>
      <c r="G32" s="13" t="n"/>
      <c r="H32" s="13" t="n"/>
      <c r="I32" s="31" t="n"/>
      <c r="J32" s="13" t="n"/>
      <c r="K32" s="13" t="n"/>
      <c r="L32" s="32" t="inlineStr">
        <is>
          <t>待确认</t>
        </is>
      </c>
      <c r="M32" s="17" t="inlineStr">
        <is>
          <t>仅少数指标有此口径；分类标准待说明</t>
        </is>
      </c>
    </row>
    <row r="33">
      <c r="A33" s="29" t="n">
        <v>31</v>
      </c>
      <c r="B33" s="15" t="inlineStr">
        <is>
          <t>提升类均值</t>
        </is>
      </c>
      <c r="C33" s="15" t="inlineStr">
        <is>
          <t>_EXLT_CLASS_MEANVL</t>
        </is>
      </c>
      <c r="D33" s="29" t="n">
        <v>3</v>
      </c>
      <c r="E33" s="13" t="inlineStr">
        <is>
          <t>提升类农商行的均值（推测）</t>
        </is>
      </c>
      <c r="F33" s="34" t="inlineStr">
        <is>
          <t>待数据方说明</t>
        </is>
      </c>
      <c r="G33" s="13" t="n"/>
      <c r="H33" s="13" t="n"/>
      <c r="I33" s="31" t="n"/>
      <c r="J33" s="13" t="n"/>
      <c r="K33" s="13" t="n"/>
      <c r="L33" s="32" t="inlineStr">
        <is>
          <t>待确认</t>
        </is>
      </c>
      <c r="M33" s="17" t="inlineStr">
        <is>
          <t>同上</t>
        </is>
      </c>
    </row>
    <row r="34">
      <c r="A34" s="29" t="n">
        <v>32</v>
      </c>
      <c r="B34" s="15" t="inlineStr">
        <is>
          <t>拓展类均值</t>
        </is>
      </c>
      <c r="C34" s="15" t="inlineStr">
        <is>
          <t>_EXPNCATG_MEANVL</t>
        </is>
      </c>
      <c r="D34" s="29" t="n">
        <v>3</v>
      </c>
      <c r="E34" s="13" t="inlineStr">
        <is>
          <t>拓展类农商行的均值（推测）</t>
        </is>
      </c>
      <c r="F34" s="34" t="inlineStr">
        <is>
          <t>待数据方说明</t>
        </is>
      </c>
      <c r="G34" s="13" t="n"/>
      <c r="H34" s="13" t="n"/>
      <c r="I34" s="31" t="n"/>
      <c r="J34" s="13" t="n"/>
      <c r="K34" s="13" t="n"/>
      <c r="L34" s="32" t="inlineStr">
        <is>
          <t>待确认</t>
        </is>
      </c>
      <c r="M34" s="17" t="inlineStr">
        <is>
          <t>同上</t>
        </is>
      </c>
    </row>
    <row r="35">
      <c r="A35" s="29" t="n">
        <v>33</v>
      </c>
      <c r="B35" s="15" t="inlineStr">
        <is>
          <t>成长类均值</t>
        </is>
      </c>
      <c r="C35" s="15" t="inlineStr">
        <is>
          <t>_GRWT_CLASS_MEANVL</t>
        </is>
      </c>
      <c r="D35" s="29" t="n">
        <v>3</v>
      </c>
      <c r="E35" s="13" t="inlineStr">
        <is>
          <t>成长类农商行的均值（推测）</t>
        </is>
      </c>
      <c r="F35" s="34" t="inlineStr">
        <is>
          <t>待数据方说明</t>
        </is>
      </c>
      <c r="G35" s="13" t="n"/>
      <c r="H35" s="13" t="n"/>
      <c r="I35" s="31" t="n"/>
      <c r="J35" s="13" t="n"/>
      <c r="K35" s="13" t="n"/>
      <c r="L35" s="32" t="inlineStr">
        <is>
          <t>待确认</t>
        </is>
      </c>
      <c r="M35" s="17" t="inlineStr">
        <is>
          <t>同上</t>
        </is>
      </c>
    </row>
  </sheetData>
  <dataValidations count="1">
    <dataValidation sqref="L3:L35" showDropDown="0" showInputMessage="0" showErrorMessage="0" allowBlank="1" type="list">
      <formula1>=L_STATUS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18" customWidth="1" min="5" max="5"/>
    <col width="14" customWidth="1" min="6" max="6"/>
    <col width="10" customWidth="1" min="7" max="7"/>
  </cols>
  <sheetData>
    <row r="1" ht="58" customHeight="1">
      <c r="A1" s="7" t="n"/>
      <c r="B1" s="7" t="n"/>
      <c r="C1" s="7" t="n"/>
      <c r="D1" s="7" t="n"/>
      <c r="E1" s="7" t="inlineStr">
        <is>
          <t>用报表自身数值按左侧方法计算</t>
        </is>
      </c>
      <c r="F1" s="7" t="n"/>
      <c r="G1" s="7" t="n"/>
    </row>
    <row r="2" ht="32" customHeight="1">
      <c r="A2" s="8" t="inlineStr">
        <is>
          <t>报表列</t>
        </is>
      </c>
      <c r="B2" s="9" t="inlineStr">
        <is>
          <t>对应口径</t>
        </is>
      </c>
      <c r="C2" s="9" t="inlineStr">
        <is>
          <t>取数日期</t>
        </is>
      </c>
      <c r="D2" s="9" t="inlineStr">
        <is>
          <t>取数 / 计算方法</t>
        </is>
      </c>
      <c r="E2" s="8" t="inlineStr">
        <is>
          <t>以“各项存款”验证</t>
        </is>
      </c>
      <c r="F2" s="8" t="inlineStr">
        <is>
          <t>报表数值</t>
        </is>
      </c>
      <c r="G2" s="8" t="inlineStr">
        <is>
          <t>是否一致</t>
        </is>
      </c>
    </row>
    <row r="3">
      <c r="A3" s="15" t="inlineStr">
        <is>
          <t>2024年末、2025年7月末、2025年末、2026年3月末、2026年6月末、2026年7月末</t>
        </is>
      </c>
      <c r="B3" s="13" t="inlineStr">
        <is>
          <t>当日数</t>
        </is>
      </c>
      <c r="C3" s="13" t="inlineStr">
        <is>
          <t>各列对应月末</t>
        </is>
      </c>
      <c r="D3" s="13" t="inlineStr">
        <is>
          <t>直接取该日期的当日数</t>
        </is>
      </c>
      <c r="E3" s="15" t="n"/>
      <c r="F3" s="15" t="n"/>
      <c r="G3" s="15" t="n"/>
    </row>
    <row r="4">
      <c r="A4" s="15" t="inlineStr">
        <is>
          <t>较年初增加（2026年7月末）</t>
        </is>
      </c>
      <c r="B4" s="13" t="inlineStr">
        <is>
          <t>较年初</t>
        </is>
      </c>
      <c r="C4" s="13" t="inlineStr">
        <is>
          <t>2026-07-31</t>
        </is>
      </c>
      <c r="D4" s="13" t="inlineStr">
        <is>
          <t>当日数(2026-07-31) − 当日数(2025-12-31)</t>
        </is>
      </c>
      <c r="E4" s="18">
        <f>'报表数值（对账用）'!J3-'报表数值（对账用）'!G3</f>
        <v/>
      </c>
      <c r="F4" s="18">
        <f>'报表数值（对账用）'!K3</f>
        <v/>
      </c>
      <c r="G4" s="29">
        <f>IF(ABS(E4-F4)&lt;=0.02,"✓ 一致","✗ 不一致")</f>
        <v/>
      </c>
    </row>
    <row r="5">
      <c r="A5" s="15" t="inlineStr">
        <is>
          <t>较年初增幅（2026年7月末）</t>
        </is>
      </c>
      <c r="B5" s="13" t="inlineStr">
        <is>
          <t>较年初增幅</t>
        </is>
      </c>
      <c r="C5" s="13" t="inlineStr">
        <is>
          <t>2026-07-31</t>
        </is>
      </c>
      <c r="D5" s="13" t="inlineStr">
        <is>
          <t>较年初 ÷ 当日数(2025-12-31)</t>
        </is>
      </c>
      <c r="E5" s="22">
        <f>'报表数值（对账用）'!K3/'报表数值（对账用）'!G3</f>
        <v/>
      </c>
      <c r="F5" s="22">
        <f>'报表数值（对账用）'!M3</f>
        <v/>
      </c>
      <c r="G5" s="29">
        <f>IF(ABS(E5-F5)&lt;=0.0002,"✓ 一致","✗ 不一致")</f>
        <v/>
      </c>
    </row>
    <row r="6">
      <c r="A6" s="15" t="inlineStr">
        <is>
          <t>较年初增加（2025年7月末）</t>
        </is>
      </c>
      <c r="B6" s="13" t="inlineStr">
        <is>
          <t>较年初</t>
        </is>
      </c>
      <c r="C6" s="13" t="inlineStr">
        <is>
          <t>2025-07-31</t>
        </is>
      </c>
      <c r="D6" s="13" t="inlineStr">
        <is>
          <t>当日数(2025-07-31) − 当日数(2024-12-31)</t>
        </is>
      </c>
      <c r="E6" s="18">
        <f>'报表数值（对账用）'!D3-'报表数值（对账用）'!C3</f>
        <v/>
      </c>
      <c r="F6" s="18">
        <f>'报表数值（对账用）'!E3</f>
        <v/>
      </c>
      <c r="G6" s="29">
        <f>IF(ABS(E6-F6)&lt;=0.02,"✓ 一致","✗ 不一致")</f>
        <v/>
      </c>
    </row>
    <row r="7">
      <c r="A7" s="15" t="inlineStr">
        <is>
          <t>较年初增量同比</t>
        </is>
      </c>
      <c r="B7" s="13" t="inlineStr">
        <is>
          <t>（无现成口径，由系统计算）</t>
        </is>
      </c>
      <c r="C7" s="13" t="n"/>
      <c r="D7" s="13" t="inlineStr">
        <is>
          <t>较年初(2026-07-31) − 较年初(2025-07-31)</t>
        </is>
      </c>
      <c r="E7" s="18">
        <f>'报表数值（对账用）'!K3-'报表数值（对账用）'!E3</f>
        <v/>
      </c>
      <c r="F7" s="18">
        <f>'报表数值（对账用）'!L3</f>
        <v/>
      </c>
      <c r="G7" s="29">
        <f>IF(ABS(E7-F7)&lt;=0.02,"✓ 一致","✗ 不一致")</f>
        <v/>
      </c>
    </row>
    <row r="8">
      <c r="A8" s="15" t="inlineStr">
        <is>
          <t>较年初增幅同比</t>
        </is>
      </c>
      <c r="B8" s="13" t="inlineStr">
        <is>
          <t>（无现成口径，由系统计算）</t>
        </is>
      </c>
      <c r="C8" s="13" t="n"/>
      <c r="D8" s="13" t="inlineStr">
        <is>
          <t>较年初增幅(2026-07-31) − 较年初增幅(2025-07-31)，单位为百分点</t>
        </is>
      </c>
      <c r="E8" s="22">
        <f>'报表数值（对账用）'!M3-'报表数值（对账用）'!F3</f>
        <v/>
      </c>
      <c r="F8" s="22">
        <f>'报表数值（对账用）'!N3</f>
        <v/>
      </c>
      <c r="G8" s="29">
        <f>IF(ABS(E8-F8)&lt;=0.0002,"✓ 一致","✗ 不一致")</f>
        <v/>
      </c>
    </row>
    <row r="9">
      <c r="A9" s="15" t="inlineStr">
        <is>
          <t>比率行（如“个人存款占比”）的较年初增加</t>
        </is>
      </c>
      <c r="B9" s="13" t="inlineStr">
        <is>
          <t>较年初</t>
        </is>
      </c>
      <c r="C9" s="13" t="inlineStr">
        <is>
          <t>2026-07-31</t>
        </is>
      </c>
      <c r="D9" s="13" t="inlineStr">
        <is>
          <t>本期比率 − 上年末比率，单位为百分点</t>
        </is>
      </c>
      <c r="E9" s="22">
        <f>'报表数值（对账用）'!J5-'报表数值（对账用）'!G5</f>
        <v/>
      </c>
      <c r="F9" s="22">
        <f>'报表数值（对账用）'!K5</f>
        <v/>
      </c>
      <c r="G9" s="29">
        <f>IF(ABS(E9-F9)&lt;=0.0002,"✓ 一致","✗ 不一致")</f>
        <v/>
      </c>
    </row>
    <row r="10">
      <c r="A10" s="15" t="inlineStr">
        <is>
          <t>报表范围“全省”</t>
        </is>
      </c>
      <c r="B10" s="13" t="inlineStr">
        <is>
          <t>—</t>
        </is>
      </c>
      <c r="C10" s="13" t="inlineStr">
        <is>
          <t>—</t>
        </is>
      </c>
      <c r="D10" s="13" t="inlineStr">
        <is>
          <t>对应“江苏农商联合银行”或 60 家农商行合计，待对账确认</t>
        </is>
      </c>
      <c r="E10" s="15" t="n"/>
      <c r="F10" s="15" t="n"/>
      <c r="G10" s="15" t="n"/>
    </row>
    <row r="12">
      <c r="A12" s="35" t="inlineStr">
        <is>
          <t>说明：增幅类按小数存储（6.71% 即 0.0671）；报表数值取整后计算，容差为 0.02 亿元或 0.02 个百分点。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5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</row>
    <row r="2" ht="32" customHeight="1">
      <c r="A2" s="8" t="inlineStr">
        <is>
          <t>报表序号</t>
        </is>
      </c>
      <c r="B2" s="8" t="inlineStr">
        <is>
          <t>项目名称</t>
        </is>
      </c>
      <c r="C2" s="8" t="inlineStr">
        <is>
          <t>2024年末</t>
        </is>
      </c>
      <c r="D2" s="8" t="inlineStr">
        <is>
          <t>2025年7月末</t>
        </is>
      </c>
      <c r="E2" s="8" t="inlineStr">
        <is>
          <t>较年初增加（2025年7月末）</t>
        </is>
      </c>
      <c r="F2" s="8" t="inlineStr">
        <is>
          <t>较年初增幅（2025年7月末）</t>
        </is>
      </c>
      <c r="G2" s="8" t="inlineStr">
        <is>
          <t>2025年末</t>
        </is>
      </c>
      <c r="H2" s="8" t="inlineStr">
        <is>
          <t>2026年3月末</t>
        </is>
      </c>
      <c r="I2" s="8" t="inlineStr">
        <is>
          <t>2026年6月末</t>
        </is>
      </c>
      <c r="J2" s="8" t="inlineStr">
        <is>
          <t>2026年7月末</t>
        </is>
      </c>
      <c r="K2" s="8" t="inlineStr">
        <is>
          <t>较年初增加（2026年7月末）</t>
        </is>
      </c>
      <c r="L2" s="8" t="inlineStr">
        <is>
          <t>较年初增量同比</t>
        </is>
      </c>
      <c r="M2" s="8" t="inlineStr">
        <is>
          <t>较年初增幅（2026年7月末）</t>
        </is>
      </c>
      <c r="N2" s="8" t="inlineStr">
        <is>
          <t>较年初增幅同比</t>
        </is>
      </c>
    </row>
    <row r="3">
      <c r="A3" s="15" t="n">
        <v>1</v>
      </c>
      <c r="B3" s="15" t="inlineStr">
        <is>
          <t>各项存款（亿元）</t>
        </is>
      </c>
      <c r="C3" s="36" t="n">
        <v>38354.11</v>
      </c>
      <c r="D3" s="36" t="n">
        <v>41225.95</v>
      </c>
      <c r="E3" s="36" t="n">
        <v>2871.84</v>
      </c>
      <c r="F3" s="37" t="n">
        <v>0.0748769818932051</v>
      </c>
      <c r="G3" s="36" t="n">
        <v>41596.35</v>
      </c>
      <c r="H3" s="36" t="n">
        <v>43932.96</v>
      </c>
      <c r="I3" s="36" t="n">
        <v>44443.06</v>
      </c>
      <c r="J3" s="36" t="n">
        <v>44389.53</v>
      </c>
      <c r="K3" s="36" t="n">
        <v>2793.18</v>
      </c>
      <c r="L3" s="36" t="n">
        <v>-78.6599999999962</v>
      </c>
      <c r="M3" s="37" t="n">
        <v>0.0671496417353927</v>
      </c>
      <c r="N3" s="37" t="n">
        <v>-0.00772734015781243</v>
      </c>
    </row>
    <row r="4">
      <c r="A4" s="15" t="n">
        <v>2</v>
      </c>
      <c r="B4" s="15" t="inlineStr">
        <is>
          <t>1.个人存款（亿元）</t>
        </is>
      </c>
      <c r="C4" s="36" t="n">
        <v>28350</v>
      </c>
      <c r="D4" s="36" t="n">
        <v>30918.34</v>
      </c>
      <c r="E4" s="36" t="n">
        <v>2568.34</v>
      </c>
      <c r="F4" s="37" t="n">
        <v>0.0905940035273369</v>
      </c>
      <c r="G4" s="36" t="n">
        <v>31288.85</v>
      </c>
      <c r="H4" s="36" t="n">
        <v>32708.326643</v>
      </c>
      <c r="I4" s="36" t="n">
        <v>33119.56538</v>
      </c>
      <c r="J4" s="36" t="n">
        <v>33238.53</v>
      </c>
      <c r="K4" s="36" t="n">
        <v>1949.68</v>
      </c>
      <c r="L4" s="36" t="n">
        <v>-618.66</v>
      </c>
      <c r="M4" s="37" t="n">
        <v>0.0623122933568987</v>
      </c>
      <c r="N4" s="37" t="n">
        <v>-0.0282817101704381</v>
      </c>
    </row>
    <row r="5">
      <c r="A5" s="15" t="n">
        <v>3</v>
      </c>
      <c r="B5" s="15" t="inlineStr">
        <is>
          <t>个人存款占比（%）</t>
        </is>
      </c>
      <c r="C5" s="37" t="n">
        <v>0.739164590183425</v>
      </c>
      <c r="D5" s="37" t="n">
        <v>0.749972772004041</v>
      </c>
      <c r="E5" s="37" t="n">
        <v>0.010808181820616</v>
      </c>
      <c r="F5" s="38" t="inlineStr">
        <is>
          <t>----</t>
        </is>
      </c>
      <c r="G5" s="37" t="n">
        <v>0.752201815784318</v>
      </c>
      <c r="H5" s="37" t="n">
        <v>0.744505415592302</v>
      </c>
      <c r="I5" s="37" t="n">
        <v>0.745213434448483</v>
      </c>
      <c r="J5" s="37" t="n">
        <v>0.7487921138160279</v>
      </c>
      <c r="K5" s="37" t="n">
        <v>-0.00340970196829005</v>
      </c>
      <c r="L5" s="37" t="n">
        <v>-0.0142178837889061</v>
      </c>
      <c r="M5" s="38" t="inlineStr">
        <is>
          <t>----</t>
        </is>
      </c>
      <c r="N5" s="38" t="inlineStr">
        <is>
          <t>----</t>
        </is>
      </c>
    </row>
    <row r="6">
      <c r="A6" s="15" t="n">
        <v>4</v>
      </c>
      <c r="B6" s="15" t="inlineStr">
        <is>
          <t>1.1.1个人活期存款（亿元）</t>
        </is>
      </c>
      <c r="C6" s="36" t="n">
        <v>4554.1873</v>
      </c>
      <c r="D6" s="36" t="n">
        <v>4481.49</v>
      </c>
      <c r="E6" s="36" t="n">
        <v>-72.6972999999998</v>
      </c>
      <c r="F6" s="37" t="n">
        <v>-0.0159627382914181</v>
      </c>
      <c r="G6" s="36" t="n">
        <v>4836.02</v>
      </c>
      <c r="H6" s="36" t="n">
        <v>4500.1709143652</v>
      </c>
      <c r="I6" s="36" t="n">
        <v>4626.01815452694</v>
      </c>
      <c r="J6" s="36" t="n">
        <v>4647.3800563043</v>
      </c>
      <c r="K6" s="36" t="n">
        <v>-188.639943695701</v>
      </c>
      <c r="L6" s="36" t="n">
        <v>-115.942643695701</v>
      </c>
      <c r="M6" s="37" t="n">
        <v>-0.039007271205599</v>
      </c>
      <c r="N6" s="37" t="n">
        <v>-0.0230445329141809</v>
      </c>
    </row>
    <row r="7">
      <c r="A7" s="15" t="n">
        <v>5</v>
      </c>
      <c r="B7" s="15" t="inlineStr">
        <is>
          <t>个人活期存款占个人存款比（%）</t>
        </is>
      </c>
      <c r="C7" s="37" t="n">
        <v>0.160641527336861</v>
      </c>
      <c r="D7" s="37" t="n">
        <v>0.14494600939119</v>
      </c>
      <c r="E7" s="37" t="n">
        <v>-0.015695517945671</v>
      </c>
      <c r="F7" s="38" t="inlineStr">
        <is>
          <t>----</t>
        </is>
      </c>
      <c r="G7" s="37" t="n">
        <v>0.154560490398337</v>
      </c>
      <c r="H7" s="37" t="n">
        <v>0.137584871384067</v>
      </c>
      <c r="I7" s="37" t="n">
        <v>0.139676294101385</v>
      </c>
      <c r="J7" s="37" t="n">
        <v>0.139819061080749</v>
      </c>
      <c r="K7" s="37" t="n">
        <v>-0.014741429317588</v>
      </c>
      <c r="L7" s="37" t="n">
        <v>0.000954088628082994</v>
      </c>
      <c r="M7" s="38" t="inlineStr">
        <is>
          <t>----</t>
        </is>
      </c>
      <c r="N7" s="38" t="inlineStr">
        <is>
          <t>----</t>
        </is>
      </c>
    </row>
    <row r="8">
      <c r="A8" s="15" t="n">
        <v>6</v>
      </c>
      <c r="B8" s="15" t="inlineStr">
        <is>
          <t>1.1.2个人定期存款（亿元）</t>
        </is>
      </c>
      <c r="C8" s="36" t="n">
        <v>23795.82</v>
      </c>
      <c r="D8" s="36" t="n">
        <v>26436.84</v>
      </c>
      <c r="E8" s="36" t="n">
        <v>2641.02</v>
      </c>
      <c r="F8" s="37" t="n">
        <v>0.110986719516285</v>
      </c>
      <c r="G8" s="36" t="n">
        <v>26452.83</v>
      </c>
      <c r="H8" s="36" t="n">
        <v>28208.1557286348</v>
      </c>
      <c r="I8" s="36" t="n">
        <v>28493.5472254731</v>
      </c>
      <c r="J8" s="36" t="n">
        <v>28591.1499436957</v>
      </c>
      <c r="K8" s="36" t="n">
        <v>2138.3199436957</v>
      </c>
      <c r="L8" s="36" t="n">
        <v>-502.700056304304</v>
      </c>
      <c r="M8" s="37" t="n">
        <v>0.0808352052954522</v>
      </c>
      <c r="N8" s="37" t="n">
        <v>-0.0301515142208326</v>
      </c>
    </row>
    <row r="9">
      <c r="A9" s="15" t="n">
        <v>7</v>
      </c>
      <c r="B9" s="15" t="inlineStr">
        <is>
          <t>个人定期存款占个人存款比（%）</t>
        </is>
      </c>
      <c r="C9" s="37" t="n">
        <v>0.83935873015873</v>
      </c>
      <c r="D9" s="37" t="n">
        <v>0.855053667176181</v>
      </c>
      <c r="E9" s="37" t="n">
        <v>0.0156949370174511</v>
      </c>
      <c r="F9" s="38" t="inlineStr">
        <is>
          <t>----</t>
        </is>
      </c>
      <c r="G9" s="37" t="n">
        <v>0.845439509601663</v>
      </c>
      <c r="H9" s="37" t="n">
        <v>0.8624151286159329</v>
      </c>
      <c r="I9" s="37" t="n">
        <v>0.860323705898616</v>
      </c>
      <c r="J9" s="37" t="n">
        <v>0.860180938919251</v>
      </c>
      <c r="K9" s="37" t="n">
        <v>0.0147414293175879</v>
      </c>
      <c r="L9" s="37" t="n">
        <v>-0.000953507699863132</v>
      </c>
      <c r="M9" s="38" t="inlineStr">
        <is>
          <t>----</t>
        </is>
      </c>
      <c r="N9" s="38" t="inlineStr">
        <is>
          <t>----</t>
        </is>
      </c>
    </row>
    <row r="10">
      <c r="A10" s="15" t="n">
        <v>8</v>
      </c>
      <c r="B10" s="15" t="inlineStr">
        <is>
          <t>其中：一年期及以下（亿元）</t>
        </is>
      </c>
      <c r="C10" s="36" t="n">
        <v>6102.07129869314</v>
      </c>
      <c r="D10" s="36" t="n">
        <v>7207.66</v>
      </c>
      <c r="E10" s="36" t="n">
        <v>1105.58870130686</v>
      </c>
      <c r="F10" s="37" t="n">
        <v>0.181182527569555</v>
      </c>
      <c r="G10" s="36" t="n">
        <v>7323.5</v>
      </c>
      <c r="H10" s="36" t="n">
        <v>7735.8343343113</v>
      </c>
      <c r="I10" s="36" t="n">
        <v>7287.73034925701</v>
      </c>
      <c r="J10" s="36" t="n">
        <v>7335.93838400519</v>
      </c>
      <c r="K10" s="36" t="n">
        <v>12.4383840051896</v>
      </c>
      <c r="L10" s="36" t="n">
        <v>-1093.15031730167</v>
      </c>
      <c r="M10" s="37" t="n">
        <v>0.00169842070119337</v>
      </c>
      <c r="N10" s="37" t="n">
        <v>-0.179484106868362</v>
      </c>
    </row>
    <row r="11">
      <c r="A11" s="15" t="n">
        <v>9</v>
      </c>
      <c r="B11" s="15" t="inlineStr">
        <is>
          <t>一年期及以下占个人定期（%）</t>
        </is>
      </c>
      <c r="C11" s="37" t="n">
        <v>0.256434588036602</v>
      </c>
      <c r="D11" s="37" t="n">
        <v>0.272636971740949</v>
      </c>
      <c r="E11" s="37" t="n">
        <v>0.016202383704347</v>
      </c>
      <c r="F11" s="38" t="inlineStr">
        <is>
          <t>----</t>
        </is>
      </c>
      <c r="G11" s="37" t="n">
        <v>0.276851285854859</v>
      </c>
      <c r="H11" s="37" t="n">
        <v>0.274241053145437</v>
      </c>
      <c r="I11" s="37" t="n">
        <v>0.255767745994848</v>
      </c>
      <c r="J11" s="37" t="n">
        <v>0.256580739090655</v>
      </c>
      <c r="K11" s="37" t="n">
        <v>-0.020270546764204</v>
      </c>
      <c r="L11" s="37" t="n">
        <v>-0.036472930468551</v>
      </c>
      <c r="M11" s="38" t="inlineStr">
        <is>
          <t>----</t>
        </is>
      </c>
      <c r="N11" s="38" t="inlineStr">
        <is>
          <t>----</t>
        </is>
      </c>
    </row>
    <row r="12">
      <c r="A12" s="15" t="n">
        <v>10</v>
      </c>
      <c r="B12" s="15" t="inlineStr">
        <is>
          <t>二年期（亿元）</t>
        </is>
      </c>
      <c r="C12" s="36" t="n">
        <v>3541.05764500299</v>
      </c>
      <c r="D12" s="36" t="n">
        <v>3734.3</v>
      </c>
      <c r="E12" s="36" t="n">
        <v>193.24235499701</v>
      </c>
      <c r="F12" s="37" t="n">
        <v>0.0545719314311945</v>
      </c>
      <c r="G12" s="36" t="n">
        <v>3791.61</v>
      </c>
      <c r="H12" s="36" t="n">
        <v>3722.4255515015</v>
      </c>
      <c r="I12" s="36" t="n">
        <v>3619.94798179142</v>
      </c>
      <c r="J12" s="36" t="n">
        <v>3611.29531880035</v>
      </c>
      <c r="K12" s="36" t="n">
        <v>-180.31468119965</v>
      </c>
      <c r="L12" s="36" t="n">
        <v>-373.557036196661</v>
      </c>
      <c r="M12" s="37" t="n">
        <v>-0.0475562310468773</v>
      </c>
      <c r="N12" s="37" t="n">
        <v>-0.102128162478072</v>
      </c>
    </row>
    <row r="13">
      <c r="A13" s="15" t="n">
        <v>11</v>
      </c>
      <c r="B13" s="15" t="inlineStr">
        <is>
          <t>二年期占个人定期比（%）</t>
        </is>
      </c>
      <c r="C13" s="37" t="n">
        <v>0.148810070214138</v>
      </c>
      <c r="D13" s="37" t="n">
        <v>0.141253644535429</v>
      </c>
      <c r="E13" s="37" t="n">
        <v>-0.00755642567870901</v>
      </c>
      <c r="F13" s="38" t="inlineStr">
        <is>
          <t>----</t>
        </is>
      </c>
      <c r="G13" s="37" t="n">
        <v>0.14333475851166</v>
      </c>
      <c r="H13" s="37" t="n">
        <v>0.13196274110621</v>
      </c>
      <c r="I13" s="37" t="n">
        <v>0.127044483199874</v>
      </c>
      <c r="J13" s="37" t="n">
        <v>0.126308152204862</v>
      </c>
      <c r="K13" s="37" t="n">
        <v>-0.017026606306798</v>
      </c>
      <c r="L13" s="37" t="n">
        <v>-0.00947018062808899</v>
      </c>
      <c r="M13" s="38" t="inlineStr">
        <is>
          <t>----</t>
        </is>
      </c>
      <c r="N13" s="38" t="inlineStr">
        <is>
          <t>----</t>
        </is>
      </c>
    </row>
    <row r="14">
      <c r="A14" s="15" t="n">
        <v>12</v>
      </c>
      <c r="B14" s="15" t="inlineStr">
        <is>
          <t>三年期（亿元）</t>
        </is>
      </c>
      <c r="C14" s="36" t="n">
        <v>11617.4502845538</v>
      </c>
      <c r="D14" s="36" t="n">
        <v>13279.02</v>
      </c>
      <c r="E14" s="36" t="n">
        <v>1661.5697154462</v>
      </c>
      <c r="F14" s="37" t="n">
        <v>0.143023613163671</v>
      </c>
      <c r="G14" s="36" t="n">
        <v>13150.76</v>
      </c>
      <c r="H14" s="36" t="n">
        <v>14826.3572319129</v>
      </c>
      <c r="I14" s="36" t="n">
        <v>14944.0511816982</v>
      </c>
      <c r="J14" s="36" t="n">
        <v>15018.5399791689</v>
      </c>
      <c r="K14" s="36" t="n">
        <v>1867.7799791689</v>
      </c>
      <c r="L14" s="36" t="n">
        <v>206.2102637227</v>
      </c>
      <c r="M14" s="37" t="n">
        <v>0.142028291837802</v>
      </c>
      <c r="N14" s="37" t="n">
        <v>-0.0009953213258682701</v>
      </c>
    </row>
    <row r="15">
      <c r="A15" s="15" t="n">
        <v>13</v>
      </c>
      <c r="B15" s="15" t="inlineStr">
        <is>
          <t>三年期占个人定期比（%）</t>
        </is>
      </c>
      <c r="C15" s="37" t="n">
        <v>0.488213908348349</v>
      </c>
      <c r="D15" s="37" t="n">
        <v>0.50229225580667</v>
      </c>
      <c r="E15" s="37" t="n">
        <v>0.014078347458321</v>
      </c>
      <c r="F15" s="38" t="inlineStr">
        <is>
          <t>----</t>
        </is>
      </c>
      <c r="G15" s="37" t="n">
        <v>0.497140003545934</v>
      </c>
      <c r="H15" s="37" t="n">
        <v>0.525605338205868</v>
      </c>
      <c r="I15" s="37" t="n">
        <v>0.524471420263823</v>
      </c>
      <c r="J15" s="37" t="n">
        <v>0.525286321422705</v>
      </c>
      <c r="K15" s="37" t="n">
        <v>0.028146317876771</v>
      </c>
      <c r="L15" s="37" t="n">
        <v>0.01406797041845</v>
      </c>
      <c r="M15" s="38" t="inlineStr">
        <is>
          <t>----</t>
        </is>
      </c>
      <c r="N15" s="38" t="inlineStr">
        <is>
          <t>----</t>
        </is>
      </c>
    </row>
    <row r="16">
      <c r="A16" s="15" t="n">
        <v>14</v>
      </c>
      <c r="B16" s="15" t="inlineStr">
        <is>
          <t>五年期（亿元）</t>
        </is>
      </c>
      <c r="C16" s="36" t="n">
        <v>489.39</v>
      </c>
      <c r="D16" s="36" t="n">
        <v>479.55</v>
      </c>
      <c r="E16" s="36" t="n">
        <v>-9.83999999999997</v>
      </c>
      <c r="F16" s="37" t="n">
        <v>-0.0201066633972905</v>
      </c>
      <c r="G16" s="36" t="n">
        <v>480.01</v>
      </c>
      <c r="H16" s="36" t="n">
        <v>670.0857112531</v>
      </c>
      <c r="I16" s="36" t="n">
        <v>475.4357660414</v>
      </c>
      <c r="J16" s="36" t="n">
        <v>473.5266682096</v>
      </c>
      <c r="K16" s="36" t="n">
        <v>-6.48333179039997</v>
      </c>
      <c r="L16" s="36" t="n">
        <v>3.3566682096</v>
      </c>
      <c r="M16" s="37" t="n">
        <v>-0.0135066598412533</v>
      </c>
      <c r="N16" s="37" t="n">
        <v>0.0066000035560372</v>
      </c>
    </row>
    <row r="17">
      <c r="A17" s="15" t="n">
        <v>15</v>
      </c>
      <c r="B17" s="15" t="inlineStr">
        <is>
          <t>五年期占个人定期比（%）</t>
        </is>
      </c>
      <c r="C17" s="37" t="n">
        <v>0.0205662170919094</v>
      </c>
      <c r="D17" s="37" t="n">
        <v>0.0181394599354537</v>
      </c>
      <c r="E17" s="37" t="n">
        <v>-0.0024267571564557</v>
      </c>
      <c r="F17" s="38" t="inlineStr">
        <is>
          <t>----</t>
        </is>
      </c>
      <c r="G17" s="37" t="n">
        <v>0.0181458845802132</v>
      </c>
      <c r="H17" s="37" t="n">
        <v>0.0237550344552614</v>
      </c>
      <c r="I17" s="37" t="n">
        <v>0.0166857345727865</v>
      </c>
      <c r="J17" s="37" t="n">
        <v>0.0165620014984396</v>
      </c>
      <c r="K17" s="37" t="n">
        <v>-0.0015838830817736</v>
      </c>
      <c r="L17" s="37" t="n">
        <v>0.000842874074682098</v>
      </c>
      <c r="M17" s="38" t="inlineStr">
        <is>
          <t>----</t>
        </is>
      </c>
      <c r="N17" s="38" t="inlineStr">
        <is>
          <t>----</t>
        </is>
      </c>
    </row>
    <row r="18">
      <c r="A18" s="15" t="n">
        <v>16</v>
      </c>
      <c r="B18" s="15" t="inlineStr">
        <is>
          <t>2.对公存款（亿元）</t>
        </is>
      </c>
      <c r="C18" s="36" t="n">
        <v>10004.108496</v>
      </c>
      <c r="D18" s="36" t="n">
        <v>10307.61</v>
      </c>
      <c r="E18" s="36" t="n">
        <v>303.501504</v>
      </c>
      <c r="F18" s="37" t="n">
        <v>0.0303376861737706</v>
      </c>
      <c r="G18" s="36" t="n">
        <v>10307.5</v>
      </c>
      <c r="H18" s="36" t="n">
        <v>11224.633357</v>
      </c>
      <c r="I18" s="36" t="n">
        <v>11323.49462</v>
      </c>
      <c r="J18" s="36" t="n">
        <v>11151</v>
      </c>
      <c r="K18" s="36" t="n">
        <v>843.5</v>
      </c>
      <c r="L18" s="36" t="n">
        <v>539.998496</v>
      </c>
      <c r="M18" s="37" t="n">
        <v>0.0818336162988115</v>
      </c>
      <c r="N18" s="37" t="n">
        <v>0.051495930125041</v>
      </c>
    </row>
    <row r="19">
      <c r="A19" s="15" t="n">
        <v>17</v>
      </c>
      <c r="B19" s="15" t="inlineStr">
        <is>
          <t>对公存款占比（%）</t>
        </is>
      </c>
      <c r="C19" s="37" t="n">
        <v>0.260835370603046</v>
      </c>
      <c r="D19" s="37" t="n">
        <v>0.250027227995959</v>
      </c>
      <c r="E19" s="37" t="n">
        <v>-0.010808142607087</v>
      </c>
      <c r="F19" s="38" t="inlineStr">
        <is>
          <t>----</t>
        </is>
      </c>
      <c r="G19" s="37" t="n">
        <v>0.247798184215682</v>
      </c>
      <c r="H19" s="37" t="n">
        <v>0.255494584407698</v>
      </c>
      <c r="I19" s="37" t="n">
        <v>0.254786565551517</v>
      </c>
      <c r="J19" s="37" t="n">
        <v>0.251207886183972</v>
      </c>
      <c r="K19" s="37" t="n">
        <v>0.00340970196828999</v>
      </c>
      <c r="L19" s="37" t="n">
        <v>0.014217844575377</v>
      </c>
      <c r="M19" s="38" t="inlineStr">
        <is>
          <t>----</t>
        </is>
      </c>
      <c r="N19" s="38" t="inlineStr">
        <is>
          <t>----</t>
        </is>
      </c>
    </row>
    <row r="20">
      <c r="A20" s="15" t="n">
        <v>18</v>
      </c>
      <c r="B20" s="15" t="inlineStr">
        <is>
          <t>2.1.1对公活期存款（亿元）</t>
        </is>
      </c>
      <c r="C20" s="36" t="n">
        <v>2929.2784900295</v>
      </c>
      <c r="D20" s="36" t="n">
        <v>3296.14</v>
      </c>
      <c r="E20" s="36" t="n">
        <v>366.8615099705</v>
      </c>
      <c r="F20" s="37" t="n">
        <v>0.125239546604804</v>
      </c>
      <c r="G20" s="36" t="n">
        <v>3399.64</v>
      </c>
      <c r="H20" s="36" t="n">
        <v>3944.59</v>
      </c>
      <c r="I20" s="36" t="n">
        <v>3862.61</v>
      </c>
      <c r="J20" s="36" t="n">
        <v>3669.21</v>
      </c>
      <c r="K20" s="36" t="n">
        <v>269.57</v>
      </c>
      <c r="L20" s="36" t="n">
        <v>-97.2915099704996</v>
      </c>
      <c r="M20" s="37" t="n">
        <v>0.0792936899201092</v>
      </c>
      <c r="N20" s="37" t="n">
        <v>-0.0459458566846949</v>
      </c>
    </row>
    <row r="21">
      <c r="A21" s="15" t="n">
        <v>19</v>
      </c>
      <c r="B21" s="15" t="inlineStr">
        <is>
          <t>对公活期存款占对公存款比（%）</t>
        </is>
      </c>
      <c r="C21" s="37" t="n">
        <v>0.292807549138509</v>
      </c>
      <c r="D21" s="37" t="n">
        <v>0.319777329565244</v>
      </c>
      <c r="E21" s="37" t="n">
        <v>0.026969780426735</v>
      </c>
      <c r="F21" s="38" t="inlineStr">
        <is>
          <t>----</t>
        </is>
      </c>
      <c r="G21" s="37" t="n">
        <v>0.329821974290565</v>
      </c>
      <c r="H21" s="37" t="n">
        <v>0.351422614400144</v>
      </c>
      <c r="I21" s="37" t="n">
        <v>0.341114658471044</v>
      </c>
      <c r="J21" s="37" t="n">
        <v>0.329047619047619</v>
      </c>
      <c r="K21" s="37" t="n">
        <v>-0.000774355242946001</v>
      </c>
      <c r="L21" s="37" t="n">
        <v>-0.027744135669681</v>
      </c>
      <c r="M21" s="38" t="inlineStr">
        <is>
          <t>----</t>
        </is>
      </c>
      <c r="N21" s="38" t="inlineStr">
        <is>
          <t>----</t>
        </is>
      </c>
    </row>
    <row r="22">
      <c r="A22" s="15" t="n">
        <v>20</v>
      </c>
      <c r="B22" s="15" t="inlineStr">
        <is>
          <t>2.1.2对公定期存款（亿元）</t>
        </is>
      </c>
      <c r="C22" s="36" t="n">
        <v>7070.1990649705</v>
      </c>
      <c r="D22" s="36" t="n">
        <v>7011.47</v>
      </c>
      <c r="E22" s="36" t="n">
        <v>-58.7290649705001</v>
      </c>
      <c r="F22" s="37" t="n">
        <v>-0.00830656455791675</v>
      </c>
      <c r="G22" s="36" t="n">
        <v>6907.86</v>
      </c>
      <c r="H22" s="36" t="n">
        <v>7280.043357</v>
      </c>
      <c r="I22" s="36" t="n">
        <v>7460.88462</v>
      </c>
      <c r="J22" s="36" t="n">
        <v>7481.79</v>
      </c>
      <c r="K22" s="36" t="n">
        <v>573.9299999999999</v>
      </c>
      <c r="L22" s="36" t="n">
        <v>632.6590649705</v>
      </c>
      <c r="M22" s="37" t="n">
        <v>0.08308361779190659</v>
      </c>
      <c r="N22" s="37" t="n">
        <v>0.09139018234982341</v>
      </c>
    </row>
    <row r="23">
      <c r="A23" s="15" t="n">
        <v>21</v>
      </c>
      <c r="B23" s="15" t="inlineStr">
        <is>
          <t>对公定期存款占对公存款比（%）</t>
        </is>
      </c>
      <c r="C23" s="37" t="n">
        <v>0.706729546945379</v>
      </c>
      <c r="D23" s="37" t="n">
        <v>0.680222670434756</v>
      </c>
      <c r="E23" s="37" t="n">
        <v>-0.026506876510623</v>
      </c>
      <c r="F23" s="38" t="inlineStr">
        <is>
          <t>----</t>
        </is>
      </c>
      <c r="G23" s="37" t="n">
        <v>0.670178025709435</v>
      </c>
      <c r="H23" s="37" t="n">
        <v>0.648577385599856</v>
      </c>
      <c r="I23" s="37" t="n">
        <v>0.6588853415289559</v>
      </c>
      <c r="J23" s="37" t="n">
        <v>0.670952380952381</v>
      </c>
      <c r="K23" s="37" t="n">
        <v>0.000774355242946001</v>
      </c>
      <c r="L23" s="37" t="n">
        <v>0.027281231753569</v>
      </c>
      <c r="M23" s="38" t="inlineStr">
        <is>
          <t>----</t>
        </is>
      </c>
      <c r="N23" s="38" t="inlineStr">
        <is>
          <t>----</t>
        </is>
      </c>
    </row>
    <row r="24">
      <c r="A24" s="15" t="n">
        <v>22</v>
      </c>
      <c r="B24" s="15" t="inlineStr">
        <is>
          <t>其中：保证金存款（亿元）</t>
        </is>
      </c>
      <c r="C24" s="36" t="n">
        <v>1575.902472</v>
      </c>
      <c r="D24" s="36" t="n">
        <v>1528.56</v>
      </c>
      <c r="E24" s="36" t="n">
        <v>-47.342472</v>
      </c>
      <c r="F24" s="37" t="n">
        <v>-0.0300414986594425</v>
      </c>
      <c r="G24" s="36" t="n">
        <v>1577.62</v>
      </c>
      <c r="H24" s="36" t="n">
        <v>1608.96</v>
      </c>
      <c r="I24" s="36" t="n">
        <v>1788.19</v>
      </c>
      <c r="J24" s="36" t="n">
        <v>1774.99</v>
      </c>
      <c r="K24" s="36" t="n">
        <v>197.37</v>
      </c>
      <c r="L24" s="36" t="n">
        <v>244.712472</v>
      </c>
      <c r="M24" s="37" t="n">
        <v>0.12510617258909</v>
      </c>
      <c r="N24" s="37" t="n">
        <v>0.155147671248532</v>
      </c>
    </row>
    <row r="25">
      <c r="A25" s="15" t="n">
        <v>23</v>
      </c>
      <c r="B25" s="15" t="inlineStr">
        <is>
          <t>保证金存款占对公存款比（%）</t>
        </is>
      </c>
      <c r="C25" s="37" t="n">
        <v>0.157525527899873</v>
      </c>
      <c r="D25" s="37" t="n">
        <v>0.148294318469558</v>
      </c>
      <c r="E25" s="37" t="n">
        <v>-0.009231209430315</v>
      </c>
      <c r="F25" s="38" t="inlineStr">
        <is>
          <t>----</t>
        </is>
      </c>
      <c r="G25" s="37" t="n">
        <v>0.153055542081009</v>
      </c>
      <c r="H25" s="37" t="n">
        <v>0.143341875750143</v>
      </c>
      <c r="I25" s="37" t="n">
        <v>0.157918563129939</v>
      </c>
      <c r="J25" s="37" t="n">
        <v>0.1591776522285</v>
      </c>
      <c r="K25" s="37" t="n">
        <v>0.00612211014749101</v>
      </c>
      <c r="L25" s="37" t="n">
        <v>0.015353319577806</v>
      </c>
      <c r="M25" s="38" t="inlineStr">
        <is>
          <t>----</t>
        </is>
      </c>
      <c r="N25" s="38" t="inlineStr">
        <is>
          <t>----</t>
        </is>
      </c>
    </row>
    <row r="26">
      <c r="A26" s="15" t="n">
        <v>24</v>
      </c>
      <c r="B26" s="15" t="inlineStr">
        <is>
          <t>其中：非银存款（亿元）</t>
        </is>
      </c>
      <c r="C26" s="36" t="n">
        <v>440.040000000001</v>
      </c>
      <c r="D26" s="36" t="n">
        <v>466.3</v>
      </c>
      <c r="E26" s="36" t="n">
        <v>26.259999999999</v>
      </c>
      <c r="F26" s="37" t="n">
        <v>0.0596763930551744</v>
      </c>
      <c r="G26" s="36" t="n">
        <v>451.799999999996</v>
      </c>
      <c r="H26" s="36" t="n">
        <v>578.1799999999999</v>
      </c>
      <c r="I26" s="36" t="n">
        <v>514.8</v>
      </c>
      <c r="J26" s="36" t="n">
        <v>488.339999999997</v>
      </c>
      <c r="K26" s="36" t="n">
        <v>36.540000000001</v>
      </c>
      <c r="L26" s="36" t="n">
        <v>10.280000000002</v>
      </c>
      <c r="M26" s="37" t="n">
        <v>0.0808764940239074</v>
      </c>
      <c r="N26" s="37" t="n">
        <v>0.021200100968733</v>
      </c>
    </row>
    <row r="27">
      <c r="A27" s="15" t="n">
        <v>25</v>
      </c>
      <c r="B27" s="15" t="inlineStr">
        <is>
          <t>非银存款占对公存款比（%）</t>
        </is>
      </c>
      <c r="C27" s="37" t="n">
        <v>0.0439859283989118</v>
      </c>
      <c r="D27" s="37" t="n">
        <v>0.0452384209336597</v>
      </c>
      <c r="E27" s="37" t="n">
        <v>0.0012524925347479</v>
      </c>
      <c r="F27" s="38" t="inlineStr">
        <is>
          <t>----</t>
        </is>
      </c>
      <c r="G27" s="37" t="n">
        <v>0.0438321610477804</v>
      </c>
      <c r="H27" s="37" t="n">
        <v>0.0515099230069222</v>
      </c>
      <c r="I27" s="37" t="n">
        <v>0.0454629968288005</v>
      </c>
      <c r="J27" s="37" t="n">
        <v>0.0437933817594832</v>
      </c>
      <c r="K27" s="37" t="n">
        <v>-3.87792882972013e-05</v>
      </c>
      <c r="L27" s="37" t="n">
        <v>-0.0012912718230451</v>
      </c>
      <c r="M27" s="38" t="inlineStr">
        <is>
          <t>----</t>
        </is>
      </c>
      <c r="N27" s="38" t="inlineStr">
        <is>
          <t>----</t>
        </is>
      </c>
    </row>
    <row r="28">
      <c r="A28" s="15" t="n">
        <v>26</v>
      </c>
      <c r="B28" s="15" t="inlineStr">
        <is>
          <t>3.存款市场份额（%）</t>
        </is>
      </c>
      <c r="C28" s="37" t="n">
        <v>0.1522</v>
      </c>
      <c r="D28" s="37" t="n">
        <v>0.1514</v>
      </c>
      <c r="E28" s="37" t="n">
        <v>-0.0007999999999999951</v>
      </c>
      <c r="F28" s="38" t="inlineStr">
        <is>
          <t>----</t>
        </is>
      </c>
      <c r="G28" s="37" t="n">
        <v>0.151</v>
      </c>
      <c r="H28" s="37" t="n">
        <v>0.1478</v>
      </c>
      <c r="I28" s="37" t="n">
        <v>0.1519</v>
      </c>
      <c r="J28" s="38" t="inlineStr">
        <is>
          <t>待公布</t>
        </is>
      </c>
      <c r="K28" s="38" t="inlineStr">
        <is>
          <t>待公布</t>
        </is>
      </c>
      <c r="L28" s="38" t="inlineStr">
        <is>
          <t>待公布</t>
        </is>
      </c>
      <c r="M28" s="38" t="inlineStr">
        <is>
          <t>----</t>
        </is>
      </c>
      <c r="N28" s="38" t="inlineStr">
        <is>
          <t>----</t>
        </is>
      </c>
    </row>
    <row r="29">
      <c r="A29" s="15" t="n">
        <v>27</v>
      </c>
      <c r="B29" s="15" t="inlineStr">
        <is>
          <t>4.全部3年期以上存款占比（%）</t>
        </is>
      </c>
      <c r="C29" s="37" t="n">
        <v>0.3731</v>
      </c>
      <c r="D29" s="38" t="inlineStr">
        <is>
          <t>季度指标</t>
        </is>
      </c>
      <c r="E29" s="38" t="inlineStr">
        <is>
          <t>季度指标</t>
        </is>
      </c>
      <c r="F29" s="38" t="inlineStr">
        <is>
          <t>----</t>
        </is>
      </c>
      <c r="G29" s="37" t="n">
        <v>0.3685</v>
      </c>
      <c r="H29" s="37" t="n">
        <v>0.3783</v>
      </c>
      <c r="I29" s="37" t="n">
        <v>0.3801</v>
      </c>
      <c r="J29" s="38" t="inlineStr">
        <is>
          <t>季度指标</t>
        </is>
      </c>
      <c r="K29" s="38" t="inlineStr">
        <is>
          <t>季度指标</t>
        </is>
      </c>
      <c r="L29" s="38" t="inlineStr">
        <is>
          <t>季度指标</t>
        </is>
      </c>
      <c r="M29" s="38" t="inlineStr">
        <is>
          <t>----</t>
        </is>
      </c>
      <c r="N29" s="38" t="inlineStr">
        <is>
          <t>----</t>
        </is>
      </c>
    </row>
    <row r="30">
      <c r="A30" s="15" t="n">
        <v>28</v>
      </c>
      <c r="B30" s="15" t="inlineStr">
        <is>
          <t>5.活期存款占比（%）（不含协定存款）</t>
        </is>
      </c>
      <c r="C30" s="37" t="n">
        <v>0.202037978599448</v>
      </c>
      <c r="D30" s="37" t="n">
        <v>0.1928</v>
      </c>
      <c r="E30" s="37" t="n">
        <v>-0.009237978599448001</v>
      </c>
      <c r="F30" s="38" t="inlineStr">
        <is>
          <t>----</t>
        </is>
      </c>
      <c r="G30" s="37" t="n">
        <v>0.190000691810973</v>
      </c>
      <c r="H30" s="37" t="n">
        <v>0.195136430718418</v>
      </c>
      <c r="I30" s="37" t="n">
        <v>0.1936</v>
      </c>
      <c r="J30" s="37" t="n">
        <v>0.1899</v>
      </c>
      <c r="K30" s="37" t="n">
        <v>-0.000100691810973025</v>
      </c>
      <c r="L30" s="37" t="n">
        <v>0.009137286788474971</v>
      </c>
      <c r="M30" s="38" t="inlineStr">
        <is>
          <t>----</t>
        </is>
      </c>
      <c r="N30" s="38" t="inlineStr">
        <is>
          <t>----</t>
        </is>
      </c>
    </row>
    <row r="31">
      <c r="A31" s="15" t="n">
        <v>29</v>
      </c>
      <c r="B31" s="15" t="inlineStr">
        <is>
          <t>6.活期存款占比（%）（含协定存款）</t>
        </is>
      </c>
      <c r="C31" s="37" t="n">
        <v>0.2438</v>
      </c>
      <c r="D31" s="37" t="n">
        <v>0.233</v>
      </c>
      <c r="E31" s="37" t="n">
        <v>-0.0108</v>
      </c>
      <c r="F31" s="38" t="inlineStr">
        <is>
          <t>----</t>
        </is>
      </c>
      <c r="G31" s="37" t="n">
        <v>0.2353</v>
      </c>
      <c r="H31" s="37" t="n">
        <v>0.231</v>
      </c>
      <c r="I31" s="37" t="n">
        <v>0.2287</v>
      </c>
      <c r="J31" s="37" t="n">
        <v>0.2243</v>
      </c>
      <c r="K31" s="37" t="n">
        <v>-0.011</v>
      </c>
      <c r="L31" s="37" t="n">
        <v>-0.000200000000000033</v>
      </c>
      <c r="M31" s="38" t="inlineStr">
        <is>
          <t>----</t>
        </is>
      </c>
      <c r="N31" s="38" t="inlineStr">
        <is>
          <t>----</t>
        </is>
      </c>
    </row>
    <row r="33">
      <c r="A33" s="35" t="inlineStr">
        <is>
          <t>来源：《全省农商行2026年7月主要经营指标一览表》存款部分（全省口径，亿元）。对账脚本用这些数值逐行比对数据湖指标。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60" customWidth="1" min="4" max="4"/>
    <col width="16" customWidth="1" min="5" max="5"/>
    <col width="40" customWidth="1" min="6" max="6"/>
    <col width="10" customWidth="1" min="7" max="7"/>
  </cols>
  <sheetData>
    <row r="1">
      <c r="A1" s="8" t="inlineStr">
        <is>
          <t>序号</t>
        </is>
      </c>
      <c r="B1" s="8" t="inlineStr">
        <is>
          <t>位置</t>
        </is>
      </c>
      <c r="C1" s="8" t="inlineStr">
        <is>
          <t>涉及</t>
        </is>
      </c>
      <c r="D1" s="8" t="inlineStr">
        <is>
          <t>问题</t>
        </is>
      </c>
      <c r="E1" s="8" t="inlineStr">
        <is>
          <t>怎么解决</t>
        </is>
      </c>
      <c r="F1" s="10" t="inlineStr">
        <is>
          <t>答复</t>
        </is>
      </c>
      <c r="G1" s="10" t="inlineStr">
        <is>
          <t>答复人</t>
        </is>
      </c>
    </row>
    <row r="2">
      <c r="A2" s="29" t="n">
        <v>1</v>
      </c>
      <c r="B2" s="15" t="inlineStr">
        <is>
          <t>1</t>
        </is>
      </c>
      <c r="C2" s="15" t="inlineStr">
        <is>
          <t>各项存款</t>
        </is>
      </c>
      <c r="D2" s="15" t="inlineStr">
        <is>
          <t>对应“各项存款余额”还是“各项存款余额_银监”（ORG_VRS_DEPT_BAL_CBRC）？对账时两个都比对</t>
        </is>
      </c>
      <c r="E2" s="15" t="inlineStr">
        <is>
          <t>对账可判断</t>
        </is>
      </c>
      <c r="F2" s="17" t="n"/>
      <c r="G2" s="17" t="n"/>
    </row>
    <row r="3">
      <c r="A3" s="29" t="n">
        <v>2</v>
      </c>
      <c r="B3" s="15" t="inlineStr">
        <is>
          <t>1.1.2.1</t>
        </is>
      </c>
      <c r="C3" s="15" t="inlineStr">
        <is>
          <t>一年期及以下</t>
        </is>
      </c>
      <c r="D3" s="15" t="inlineStr">
        <is>
          <t>只算整存整取（A），还是整存整取 + 大额存单（A + B）？对账可判断</t>
        </is>
      </c>
      <c r="E3" s="15" t="inlineStr">
        <is>
          <t>对账可判断</t>
        </is>
      </c>
      <c r="F3" s="17" t="n"/>
      <c r="G3" s="17" t="n"/>
    </row>
    <row r="4">
      <c r="A4" s="29" t="n">
        <v>3</v>
      </c>
      <c r="B4" s="15" t="inlineStr">
        <is>
          <t>1.1.2.4</t>
        </is>
      </c>
      <c r="C4" s="15" t="inlineStr">
        <is>
          <t>五年期</t>
        </is>
      </c>
      <c r="D4" s="15" t="inlineStr">
        <is>
          <t>只算整存整取（A），还是整存整取 + 大额存单（A + B）？对账可判断</t>
        </is>
      </c>
      <c r="E4" s="15" t="inlineStr">
        <is>
          <t>对账可判断</t>
        </is>
      </c>
      <c r="F4" s="17" t="n"/>
      <c r="G4" s="17" t="n"/>
    </row>
    <row r="5">
      <c r="A5" s="29" t="n">
        <v>4</v>
      </c>
      <c r="B5" s="15" t="inlineStr">
        <is>
          <t>1.1.2.5</t>
        </is>
      </c>
      <c r="C5" s="15" t="inlineStr">
        <is>
          <t>其他期限（建议补充）</t>
        </is>
      </c>
      <c r="D5" s="15" t="inlineStr">
        <is>
          <t>报表四个期限合计比个人定期存款少 2,151.85 亿元，是否就是“个人其他定期存款”？确认后把“加/减”改为“加”</t>
        </is>
      </c>
      <c r="E5" s="15" t="inlineStr">
        <is>
          <t>需业务或数据方答复</t>
        </is>
      </c>
      <c r="F5" s="17" t="n"/>
      <c r="G5" s="17" t="n"/>
    </row>
    <row r="6">
      <c r="A6" s="29" t="n">
        <v>5</v>
      </c>
      <c r="B6" s="15" t="inlineStr">
        <is>
          <t>1.2.4</t>
        </is>
      </c>
      <c r="C6" s="15" t="inlineStr">
        <is>
          <t>非银存款</t>
        </is>
      </c>
      <c r="D6" s="15" t="inlineStr">
        <is>
          <t>数据湖中按名称找不到“非银存款”，对应哪个指标编号？</t>
        </is>
      </c>
      <c r="E6" s="15" t="inlineStr">
        <is>
          <t>需业务或数据方答复</t>
        </is>
      </c>
      <c r="F6" s="17" t="n"/>
      <c r="G6" s="17" t="n"/>
    </row>
    <row r="7">
      <c r="A7" s="29" t="n">
        <v>6</v>
      </c>
      <c r="B7" s="15" t="inlineStr">
        <is>
          <t>报表序号27</t>
        </is>
      </c>
      <c r="C7" s="15" t="inlineStr">
        <is>
          <t>全部3年期以上存款占比</t>
        </is>
      </c>
      <c r="D7" s="15" t="inlineStr">
        <is>
          <t>数据湖有“三年期限及以上”和“三年期限以上”两个指标，报表用哪个？</t>
        </is>
      </c>
      <c r="E7" s="15" t="inlineStr">
        <is>
          <t>需业务或数据方答复</t>
        </is>
      </c>
      <c r="F7" s="17" t="n"/>
      <c r="G7" s="17" t="n"/>
    </row>
    <row r="8">
      <c r="A8" s="29" t="n">
        <v>7</v>
      </c>
      <c r="B8" s="15" t="inlineStr">
        <is>
          <t>报表序号28</t>
        </is>
      </c>
      <c r="C8" s="15" t="inlineStr">
        <is>
          <t>活期存款占比（不含协定存款）</t>
        </is>
      </c>
      <c r="D8" s="15" t="inlineStr">
        <is>
          <t>是否 = (活期存款_含协定 − 对公协定存款) ÷ 各项存款？另：个人活期 + 对公活期 占各项存款为 18.74%，与报表 18.99% 不一致，报表的“活期存款”还包含什么？</t>
        </is>
      </c>
      <c r="E8" s="15" t="inlineStr">
        <is>
          <t>需业务或数据方答复</t>
        </is>
      </c>
      <c r="F8" s="17" t="n"/>
      <c r="G8" s="17" t="n"/>
    </row>
    <row r="9">
      <c r="A9" s="29" t="n">
        <v>8</v>
      </c>
      <c r="B9" s="15" t="inlineStr">
        <is>
          <t>全局</t>
        </is>
      </c>
      <c r="C9" s="15" t="inlineStr">
        <is>
          <t>报表中的“全省”</t>
        </is>
      </c>
      <c r="D9" s="15" t="inlineStr">
        <is>
          <t>对应“江苏农商联合银行”这一机构，还是 60 家农商行合计？</t>
        </is>
      </c>
      <c r="E9" s="15" t="inlineStr">
        <is>
          <t>对账可判断</t>
        </is>
      </c>
      <c r="F9" s="17" t="n"/>
      <c r="G9" s="17" t="n"/>
    </row>
    <row r="10">
      <c r="A10" s="29" t="n">
        <v>9</v>
      </c>
      <c r="B10" s="15" t="inlineStr">
        <is>
          <t>全局</t>
        </is>
      </c>
      <c r="C10" s="15" t="inlineStr">
        <is>
          <t>默认口径</t>
        </is>
      </c>
      <c r="D10" s="15" t="inlineStr">
        <is>
          <t>用户没说口径时默认用“当日数”吗？</t>
        </is>
      </c>
      <c r="E10" s="15" t="inlineStr">
        <is>
          <t>需业务答复</t>
        </is>
      </c>
      <c r="F10" s="17" t="n"/>
      <c r="G10" s="17" t="n"/>
    </row>
    <row r="11">
      <c r="A11" s="29" t="n">
        <v>10</v>
      </c>
      <c r="B11" s="15" t="inlineStr">
        <is>
          <t>口径字典</t>
        </is>
      </c>
      <c r="C11" s="15" t="inlineStr">
        <is>
          <t>较同期 / 较同期期末</t>
        </is>
      </c>
      <c r="D11" s="15" t="inlineStr">
        <is>
          <t>两者分别和什么比？</t>
        </is>
      </c>
      <c r="E11" s="15" t="inlineStr">
        <is>
          <t>需数据方答复</t>
        </is>
      </c>
      <c r="F11" s="17" t="n"/>
      <c r="G11" s="17" t="n"/>
    </row>
    <row r="12">
      <c r="A12" s="29" t="n">
        <v>11</v>
      </c>
      <c r="B12" s="15" t="inlineStr">
        <is>
          <t>口径字典</t>
        </is>
      </c>
      <c r="C12" s="15" t="inlineStr">
        <is>
          <t>进取类、提升类、拓展类、成长类均值；层级排名；较层级均值</t>
        </is>
      </c>
      <c r="D12" s="15" t="inlineStr">
        <is>
          <t>分类和层级的标准是什么？</t>
        </is>
      </c>
      <c r="E12" s="15" t="inlineStr">
        <is>
          <t>需数据方答复</t>
        </is>
      </c>
      <c r="F12" s="17" t="n"/>
      <c r="G12" s="17" t="n"/>
    </row>
    <row r="13">
      <c r="A13" s="29" t="n">
        <v>12</v>
      </c>
      <c r="B13" s="15" t="inlineStr">
        <is>
          <t>口径字典</t>
        </is>
      </c>
      <c r="C13" s="15" t="inlineStr">
        <is>
          <t>单位</t>
        </is>
      </c>
      <c r="D13" s="15" t="inlineStr">
        <is>
          <t>各项存款“当日数”单位为元、“较年初”为亿元，以哪个为准？</t>
        </is>
      </c>
      <c r="E13" s="15" t="inlineStr">
        <is>
          <t>需数据方答复</t>
        </is>
      </c>
      <c r="F13" s="17" t="n"/>
      <c r="G13" s="1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50" customWidth="1" min="4" max="4"/>
    <col width="40" customWidth="1" min="5" max="5"/>
  </cols>
  <sheetData>
    <row r="1">
      <c r="A1" s="8" t="inlineStr">
        <is>
          <t>日期</t>
        </is>
      </c>
      <c r="B1" s="8" t="inlineStr">
        <is>
          <t>修改人</t>
        </is>
      </c>
      <c r="C1" s="8" t="inlineStr">
        <is>
          <t>工作表</t>
        </is>
      </c>
      <c r="D1" s="8" t="inlineStr">
        <is>
          <t>修改内容</t>
        </is>
      </c>
      <c r="E1" s="8" t="inlineStr">
        <is>
          <t>原因</t>
        </is>
      </c>
    </row>
    <row r="2">
      <c r="A2" s="15" t="inlineStr">
        <is>
          <t>2026-10-09</t>
        </is>
      </c>
      <c r="B2" s="15" t="inlineStr">
        <is>
          <t>系统整理</t>
        </is>
      </c>
      <c r="C2" s="15" t="inlineStr">
        <is>
          <t>全部</t>
        </is>
      </c>
      <c r="D2" s="15" t="inlineStr">
        <is>
          <t>按一览表存款部分生成初稿，预填数据湖候选编号和口径字典</t>
        </is>
      </c>
      <c r="E2" s="15" t="inlineStr">
        <is>
          <t>存款试点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加</t>
        </is>
      </c>
      <c r="C1" t="inlineStr">
        <is>
          <t>越大越好</t>
        </is>
      </c>
      <c r="D1" t="inlineStr">
        <is>
          <t>是</t>
        </is>
      </c>
      <c r="E1" t="inlineStr">
        <is>
          <t>待对账</t>
        </is>
      </c>
    </row>
    <row r="2">
      <c r="A2" t="inlineStr">
        <is>
          <t>比率</t>
        </is>
      </c>
      <c r="B2" t="inlineStr">
        <is>
          <t>减</t>
        </is>
      </c>
      <c r="C2" t="inlineStr">
        <is>
          <t>越小越好</t>
        </is>
      </c>
      <c r="D2" t="inlineStr">
        <is>
          <t>否</t>
        </is>
      </c>
      <c r="E2" t="inlineStr">
        <is>
          <t>待确认</t>
        </is>
      </c>
    </row>
    <row r="3">
      <c r="B3" t="inlineStr">
        <is>
          <t>其中</t>
        </is>
      </c>
      <c r="C3" t="inlineStr">
        <is>
          <t>无明显好坏</t>
        </is>
      </c>
      <c r="E3" t="inlineStr">
        <is>
          <t>数据湖无此指标</t>
        </is>
      </c>
    </row>
    <row r="4">
      <c r="E4" t="inlineStr">
        <is>
          <t>已确认</t>
        </is>
      </c>
    </row>
    <row r="5">
      <c r="E5" t="inlineStr">
        <is>
          <t>不需要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2026-10-09T08:54:15Z</dcterms:created>
  <dcterms:modified xsi:type="dcterms:W3CDTF">2026-10-09T08:54:15Z</dcterms:modified>
</cp:coreProperties>
</file>